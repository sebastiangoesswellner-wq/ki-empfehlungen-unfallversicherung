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ebastian Gößwellner\Bachelorarbeit\"/>
    </mc:Choice>
  </mc:AlternateContent>
  <xr:revisionPtr revIDLastSave="0" documentId="13_ncr:1_{47E4B601-B3BA-4A80-91D5-42A17BE4F071}" xr6:coauthVersionLast="47" xr6:coauthVersionMax="47" xr10:uidLastSave="{00000000-0000-0000-0000-000000000000}"/>
  <bookViews>
    <workbookView xWindow="57480" yWindow="5160" windowWidth="29040" windowHeight="15720" tabRatio="500" activeTab="3" xr2:uid="{00000000-000D-0000-FFFF-FFFF00000000}"/>
  </bookViews>
  <sheets>
    <sheet name="rohdaten_claude" sheetId="1" r:id="rId1"/>
    <sheet name="rohdaten_gemini" sheetId="2" r:id="rId2"/>
    <sheet name="rohdaten_gpt" sheetId="3" r:id="rId3"/>
    <sheet name="H1_Konsistenz" sheetId="4" r:id="rId4"/>
  </sheets>
  <definedNames>
    <definedName name="ExterneDaten_1" localSheetId="2" hidden="1">'rohdaten_gpt'!$A$1:$N$55</definedName>
    <definedName name="ExterneDaten_2" localSheetId="1" hidden="1">'rohdaten_gemini'!$A$1:$N$55</definedName>
    <definedName name="ExterneDaten_3" localSheetId="0" hidden="1">'rohdaten_claude'!$A$1:$N$55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5" i="4" l="1"/>
  <c r="H25" i="4"/>
  <c r="G25" i="4"/>
  <c r="D21" i="4" a="1"/>
  <c r="D21" i="4" s="1"/>
  <c r="D79" i="4" a="1"/>
  <c r="D79" i="4" s="1"/>
  <c r="H79" i="4" s="1"/>
  <c r="E79" i="4" a="1"/>
  <c r="E79" i="4" s="1"/>
  <c r="F79" i="4" a="1"/>
  <c r="F79" i="4" s="1"/>
  <c r="D80" i="4" a="1"/>
  <c r="D80" i="4"/>
  <c r="E80" i="4" a="1"/>
  <c r="E80" i="4" s="1"/>
  <c r="F80" i="4" a="1"/>
  <c r="F80" i="4" s="1"/>
  <c r="D81" i="4" a="1"/>
  <c r="D81" i="4" s="1"/>
  <c r="E81" i="4" a="1"/>
  <c r="E81" i="4"/>
  <c r="F81" i="4" a="1"/>
  <c r="F81" i="4" s="1"/>
  <c r="D82" i="4" a="1"/>
  <c r="D82" i="4" s="1"/>
  <c r="E82" i="4" a="1"/>
  <c r="E82" i="4" s="1"/>
  <c r="F82" i="4" a="1"/>
  <c r="F82" i="4"/>
  <c r="D83" i="4" a="1"/>
  <c r="D83" i="4" s="1"/>
  <c r="E83" i="4" a="1"/>
  <c r="E83" i="4" s="1"/>
  <c r="F83" i="4" a="1"/>
  <c r="F83" i="4" s="1"/>
  <c r="D84" i="4" a="1"/>
  <c r="D84" i="4"/>
  <c r="E84" i="4" a="1"/>
  <c r="E84" i="4" s="1"/>
  <c r="F84" i="4" a="1"/>
  <c r="F84" i="4" s="1"/>
  <c r="D85" i="4" a="1"/>
  <c r="D85" i="4" s="1"/>
  <c r="E85" i="4" a="1"/>
  <c r="E85" i="4"/>
  <c r="F85" i="4" a="1"/>
  <c r="F85" i="4" s="1"/>
  <c r="D86" i="4" a="1"/>
  <c r="D86" i="4" s="1"/>
  <c r="E86" i="4" a="1"/>
  <c r="E86" i="4" s="1"/>
  <c r="F86" i="4" a="1"/>
  <c r="F86" i="4"/>
  <c r="D87" i="4" a="1"/>
  <c r="D87" i="4" s="1"/>
  <c r="E87" i="4" a="1"/>
  <c r="E87" i="4" s="1"/>
  <c r="F87" i="4" a="1"/>
  <c r="F87" i="4" s="1"/>
  <c r="D88" i="4" a="1"/>
  <c r="D88" i="4"/>
  <c r="E88" i="4" a="1"/>
  <c r="E88" i="4" s="1"/>
  <c r="F88" i="4" a="1"/>
  <c r="F88" i="4" s="1"/>
  <c r="D89" i="4" a="1"/>
  <c r="D89" i="4" s="1"/>
  <c r="E89" i="4" a="1"/>
  <c r="E89" i="4"/>
  <c r="F89" i="4" a="1"/>
  <c r="F89" i="4" s="1"/>
  <c r="D90" i="4" a="1"/>
  <c r="D90" i="4" s="1"/>
  <c r="E90" i="4" a="1"/>
  <c r="E90" i="4" s="1"/>
  <c r="F90" i="4" a="1"/>
  <c r="F90" i="4"/>
  <c r="D91" i="4" a="1"/>
  <c r="D91" i="4" s="1"/>
  <c r="E91" i="4" a="1"/>
  <c r="E91" i="4" s="1"/>
  <c r="F91" i="4" a="1"/>
  <c r="F91" i="4" s="1"/>
  <c r="D92" i="4" a="1"/>
  <c r="D92" i="4"/>
  <c r="E92" i="4" a="1"/>
  <c r="E92" i="4" s="1"/>
  <c r="H92" i="4" s="1"/>
  <c r="F92" i="4" a="1"/>
  <c r="F92" i="4" s="1"/>
  <c r="D93" i="4" a="1"/>
  <c r="D93" i="4" s="1"/>
  <c r="E93" i="4" a="1"/>
  <c r="E93" i="4"/>
  <c r="F93" i="4" a="1"/>
  <c r="F93" i="4" s="1"/>
  <c r="D94" i="4" a="1"/>
  <c r="D94" i="4" s="1"/>
  <c r="E94" i="4" a="1"/>
  <c r="E94" i="4" s="1"/>
  <c r="F94" i="4" a="1"/>
  <c r="F94" i="4"/>
  <c r="D95" i="4" a="1"/>
  <c r="D95" i="4" s="1"/>
  <c r="E95" i="4" a="1"/>
  <c r="E95" i="4" s="1"/>
  <c r="F95" i="4" a="1"/>
  <c r="F95" i="4" s="1"/>
  <c r="D96" i="4" a="1"/>
  <c r="D96" i="4"/>
  <c r="H96" i="4" s="1"/>
  <c r="E96" i="4" a="1"/>
  <c r="E96" i="4" s="1"/>
  <c r="F96" i="4" a="1"/>
  <c r="F96" i="4" s="1"/>
  <c r="D97" i="4" a="1"/>
  <c r="D97" i="4" s="1"/>
  <c r="E97" i="4" a="1"/>
  <c r="E97" i="4"/>
  <c r="F97" i="4" a="1"/>
  <c r="F97" i="4" s="1"/>
  <c r="D98" i="4" a="1"/>
  <c r="D98" i="4" s="1"/>
  <c r="E98" i="4" a="1"/>
  <c r="E98" i="4" s="1"/>
  <c r="F98" i="4" a="1"/>
  <c r="F98" i="4"/>
  <c r="D99" i="4" a="1"/>
  <c r="D99" i="4" s="1"/>
  <c r="E99" i="4" a="1"/>
  <c r="E99" i="4" s="1"/>
  <c r="F99" i="4" a="1"/>
  <c r="F99" i="4" s="1"/>
  <c r="D100" i="4" a="1"/>
  <c r="D100" i="4"/>
  <c r="E100" i="4" a="1"/>
  <c r="E100" i="4" s="1"/>
  <c r="F100" i="4" a="1"/>
  <c r="F100" i="4" s="1"/>
  <c r="D101" i="4" a="1"/>
  <c r="D101" i="4" s="1"/>
  <c r="E101" i="4" a="1"/>
  <c r="E101" i="4"/>
  <c r="F101" i="4" a="1"/>
  <c r="F101" i="4" s="1"/>
  <c r="D102" i="4" a="1"/>
  <c r="D102" i="4" s="1"/>
  <c r="E102" i="4" a="1"/>
  <c r="E102" i="4" s="1"/>
  <c r="F102" i="4" a="1"/>
  <c r="F102" i="4"/>
  <c r="D103" i="4" a="1"/>
  <c r="D103" i="4" s="1"/>
  <c r="E103" i="4" a="1"/>
  <c r="E103" i="4" s="1"/>
  <c r="F103" i="4" a="1"/>
  <c r="F103" i="4" s="1"/>
  <c r="D104" i="4" a="1"/>
  <c r="D104" i="4"/>
  <c r="E104" i="4" a="1"/>
  <c r="E104" i="4" s="1"/>
  <c r="F104" i="4" a="1"/>
  <c r="F104" i="4" s="1"/>
  <c r="D105" i="4" a="1"/>
  <c r="D105" i="4" s="1"/>
  <c r="E105" i="4" a="1"/>
  <c r="E105" i="4"/>
  <c r="F105" i="4" a="1"/>
  <c r="F105" i="4" s="1"/>
  <c r="D106" i="4" a="1"/>
  <c r="D106" i="4" s="1"/>
  <c r="E106" i="4" a="1"/>
  <c r="E106" i="4" s="1"/>
  <c r="F106" i="4" a="1"/>
  <c r="F106" i="4"/>
  <c r="D107" i="4" a="1"/>
  <c r="D107" i="4" s="1"/>
  <c r="E107" i="4" a="1"/>
  <c r="E107" i="4" s="1"/>
  <c r="F107" i="4" a="1"/>
  <c r="F107" i="4" s="1"/>
  <c r="D108" i="4" a="1"/>
  <c r="D108" i="4" s="1"/>
  <c r="H108" i="4" s="1"/>
  <c r="E108" i="4" a="1"/>
  <c r="E108" i="4" s="1"/>
  <c r="F108" i="4" a="1"/>
  <c r="F108" i="4" s="1"/>
  <c r="D109" i="4" a="1"/>
  <c r="D109" i="4" s="1"/>
  <c r="E109" i="4" a="1"/>
  <c r="E109" i="4" s="1"/>
  <c r="F109" i="4" a="1"/>
  <c r="F109" i="4" s="1"/>
  <c r="D75" i="4" a="1"/>
  <c r="D75" i="4" s="1"/>
  <c r="E75" i="4" a="1"/>
  <c r="E75" i="4" s="1"/>
  <c r="F75" i="4" a="1"/>
  <c r="F75" i="4" s="1"/>
  <c r="D76" i="4" a="1"/>
  <c r="D76" i="4"/>
  <c r="E76" i="4" a="1"/>
  <c r="E76" i="4" s="1"/>
  <c r="F76" i="4" a="1"/>
  <c r="F76" i="4" s="1"/>
  <c r="D77" i="4" a="1"/>
  <c r="D77" i="4" s="1"/>
  <c r="E77" i="4" a="1"/>
  <c r="E77" i="4"/>
  <c r="F77" i="4" a="1"/>
  <c r="F77" i="4" s="1"/>
  <c r="D78" i="4" a="1"/>
  <c r="D78" i="4" s="1"/>
  <c r="E78" i="4" a="1"/>
  <c r="E78" i="4" s="1"/>
  <c r="F78" i="4" a="1"/>
  <c r="F78" i="4" s="1"/>
  <c r="E74" i="4" a="1"/>
  <c r="E74" i="4"/>
  <c r="F74" i="4" a="1"/>
  <c r="F74" i="4" s="1"/>
  <c r="D74" i="4" a="1"/>
  <c r="D74" i="4" s="1"/>
  <c r="D65" i="4" a="1"/>
  <c r="D65" i="4"/>
  <c r="E65" i="4" a="1"/>
  <c r="E65" i="4" s="1"/>
  <c r="H65" i="4" s="1"/>
  <c r="F65" i="4" a="1"/>
  <c r="F65" i="4"/>
  <c r="D66" i="4" a="1"/>
  <c r="D66" i="4"/>
  <c r="E66" i="4" a="1"/>
  <c r="E66" i="4" s="1"/>
  <c r="F66" i="4" a="1"/>
  <c r="F66" i="4" s="1"/>
  <c r="D67" i="4" a="1"/>
  <c r="D67" i="4"/>
  <c r="E67" i="4" a="1"/>
  <c r="E67" i="4"/>
  <c r="F67" i="4" a="1"/>
  <c r="F67" i="4" s="1"/>
  <c r="D68" i="4" a="1"/>
  <c r="D68" i="4" s="1"/>
  <c r="E68" i="4" a="1"/>
  <c r="E68" i="4" s="1"/>
  <c r="F68" i="4" a="1"/>
  <c r="F68" i="4"/>
  <c r="D69" i="4" a="1"/>
  <c r="D69" i="4" s="1"/>
  <c r="E69" i="4" a="1"/>
  <c r="E69" i="4" s="1"/>
  <c r="F69" i="4" a="1"/>
  <c r="F69" i="4" s="1"/>
  <c r="D70" i="4" a="1"/>
  <c r="D70" i="4" s="1"/>
  <c r="E70" i="4" a="1"/>
  <c r="E70" i="4" s="1"/>
  <c r="F70" i="4" a="1"/>
  <c r="F70" i="4" s="1"/>
  <c r="D71" i="4" a="1"/>
  <c r="D71" i="4" s="1"/>
  <c r="H71" i="4" s="1"/>
  <c r="E71" i="4" a="1"/>
  <c r="E71" i="4"/>
  <c r="F71" i="4" a="1"/>
  <c r="F71" i="4" s="1"/>
  <c r="D72" i="4" a="1"/>
  <c r="D72" i="4" s="1"/>
  <c r="E72" i="4" a="1"/>
  <c r="E72" i="4" s="1"/>
  <c r="F72" i="4" a="1"/>
  <c r="F72" i="4" s="1"/>
  <c r="D73" i="4" a="1"/>
  <c r="D73" i="4" s="1"/>
  <c r="E73" i="4" a="1"/>
  <c r="E73" i="4" s="1"/>
  <c r="F73" i="4" a="1"/>
  <c r="F73" i="4" s="1"/>
  <c r="D45" i="4" a="1"/>
  <c r="D45" i="4" s="1"/>
  <c r="E45" i="4" a="1"/>
  <c r="E45" i="4" s="1"/>
  <c r="F45" i="4" a="1"/>
  <c r="F45" i="4" s="1"/>
  <c r="D46" i="4" a="1"/>
  <c r="D46" i="4"/>
  <c r="E46" i="4" a="1"/>
  <c r="E46" i="4" s="1"/>
  <c r="F46" i="4" a="1"/>
  <c r="F46" i="4" s="1"/>
  <c r="D47" i="4" a="1"/>
  <c r="D47" i="4" s="1"/>
  <c r="H47" i="4" s="1"/>
  <c r="E47" i="4" a="1"/>
  <c r="E47" i="4"/>
  <c r="F47" i="4" a="1"/>
  <c r="F47" i="4" s="1"/>
  <c r="D48" i="4" a="1"/>
  <c r="D48" i="4" s="1"/>
  <c r="E48" i="4" a="1"/>
  <c r="E48" i="4" s="1"/>
  <c r="F48" i="4" a="1"/>
  <c r="F48" i="4"/>
  <c r="D49" i="4" a="1"/>
  <c r="D49" i="4" s="1"/>
  <c r="E49" i="4" a="1"/>
  <c r="E49" i="4" s="1"/>
  <c r="F49" i="4" a="1"/>
  <c r="F49" i="4" s="1"/>
  <c r="D50" i="4" a="1"/>
  <c r="D50" i="4"/>
  <c r="E50" i="4" a="1"/>
  <c r="E50" i="4" s="1"/>
  <c r="F50" i="4" a="1"/>
  <c r="F50" i="4" s="1"/>
  <c r="D51" i="4" a="1"/>
  <c r="D51" i="4" s="1"/>
  <c r="E51" i="4" a="1"/>
  <c r="E51" i="4"/>
  <c r="F51" i="4" a="1"/>
  <c r="F51" i="4" s="1"/>
  <c r="D52" i="4" a="1"/>
  <c r="D52" i="4" s="1"/>
  <c r="E52" i="4" a="1"/>
  <c r="E52" i="4" s="1"/>
  <c r="F52" i="4" a="1"/>
  <c r="F52" i="4"/>
  <c r="D53" i="4" a="1"/>
  <c r="D53" i="4" s="1"/>
  <c r="E53" i="4" a="1"/>
  <c r="E53" i="4" s="1"/>
  <c r="F53" i="4" a="1"/>
  <c r="F53" i="4" s="1"/>
  <c r="D54" i="4" a="1"/>
  <c r="D54" i="4"/>
  <c r="E54" i="4" a="1"/>
  <c r="E54" i="4" s="1"/>
  <c r="F54" i="4" a="1"/>
  <c r="F54" i="4" s="1"/>
  <c r="D55" i="4" a="1"/>
  <c r="D55" i="4" s="1"/>
  <c r="E55" i="4" a="1"/>
  <c r="E55" i="4"/>
  <c r="F55" i="4" a="1"/>
  <c r="F55" i="4" s="1"/>
  <c r="D56" i="4" a="1"/>
  <c r="D56" i="4" s="1"/>
  <c r="E56" i="4" a="1"/>
  <c r="E56" i="4" s="1"/>
  <c r="F56" i="4" a="1"/>
  <c r="F56" i="4"/>
  <c r="D57" i="4" a="1"/>
  <c r="D57" i="4" s="1"/>
  <c r="E57" i="4" a="1"/>
  <c r="E57" i="4" s="1"/>
  <c r="F57" i="4" a="1"/>
  <c r="F57" i="4" s="1"/>
  <c r="D58" i="4" a="1"/>
  <c r="D58" i="4"/>
  <c r="E58" i="4" a="1"/>
  <c r="E58" i="4" s="1"/>
  <c r="F58" i="4" a="1"/>
  <c r="F58" i="4" s="1"/>
  <c r="D59" i="4" a="1"/>
  <c r="D59" i="4" s="1"/>
  <c r="E59" i="4" a="1"/>
  <c r="E59" i="4"/>
  <c r="F59" i="4" a="1"/>
  <c r="F59" i="4" s="1"/>
  <c r="D60" i="4" a="1"/>
  <c r="D60" i="4" s="1"/>
  <c r="E60" i="4" a="1"/>
  <c r="E60" i="4" s="1"/>
  <c r="F60" i="4" a="1"/>
  <c r="F60" i="4"/>
  <c r="D61" i="4" a="1"/>
  <c r="D61" i="4" s="1"/>
  <c r="E61" i="4" a="1"/>
  <c r="E61" i="4" s="1"/>
  <c r="F61" i="4" a="1"/>
  <c r="F61" i="4" s="1"/>
  <c r="D62" i="4" a="1"/>
  <c r="D62" i="4"/>
  <c r="E62" i="4" a="1"/>
  <c r="E62" i="4" s="1"/>
  <c r="F62" i="4" a="1"/>
  <c r="F62" i="4" s="1"/>
  <c r="D63" i="4" a="1"/>
  <c r="D63" i="4" s="1"/>
  <c r="E63" i="4" a="1"/>
  <c r="E63" i="4"/>
  <c r="F63" i="4" a="1"/>
  <c r="F63" i="4" s="1"/>
  <c r="D64" i="4" a="1"/>
  <c r="D64" i="4" s="1"/>
  <c r="E64" i="4" a="1"/>
  <c r="E64" i="4" s="1"/>
  <c r="F64" i="4" a="1"/>
  <c r="F64" i="4"/>
  <c r="D39" i="4" a="1"/>
  <c r="D39" i="4" s="1"/>
  <c r="E39" i="4" a="1"/>
  <c r="E39" i="4" s="1"/>
  <c r="F39" i="4" a="1"/>
  <c r="F39" i="4"/>
  <c r="D40" i="4" a="1"/>
  <c r="D40" i="4" s="1"/>
  <c r="E40" i="4" a="1"/>
  <c r="E40" i="4" s="1"/>
  <c r="F40" i="4" a="1"/>
  <c r="F40" i="4" s="1"/>
  <c r="D41" i="4" a="1"/>
  <c r="D41" i="4"/>
  <c r="E41" i="4" a="1"/>
  <c r="E41" i="4" s="1"/>
  <c r="F41" i="4" a="1"/>
  <c r="F41" i="4" s="1"/>
  <c r="D42" i="4" a="1"/>
  <c r="D42" i="4" s="1"/>
  <c r="E42" i="4" a="1"/>
  <c r="E42" i="4"/>
  <c r="F42" i="4" a="1"/>
  <c r="F42" i="4" s="1"/>
  <c r="D43" i="4" a="1"/>
  <c r="D43" i="4" s="1"/>
  <c r="E43" i="4" a="1"/>
  <c r="E43" i="4" s="1"/>
  <c r="F43" i="4" a="1"/>
  <c r="F43" i="4" s="1"/>
  <c r="D44" i="4" a="1"/>
  <c r="D44" i="4" s="1"/>
  <c r="H44" i="4" s="1"/>
  <c r="E44" i="4" a="1"/>
  <c r="E44" i="4" s="1"/>
  <c r="F44" i="4" a="1"/>
  <c r="F44" i="4" s="1"/>
  <c r="E38" i="4" a="1"/>
  <c r="E38" i="4" s="1"/>
  <c r="F38" i="4" a="1"/>
  <c r="F38" i="4" s="1"/>
  <c r="D38" i="4" a="1"/>
  <c r="D38" i="4" s="1"/>
  <c r="D3" i="4" a="1"/>
  <c r="D3" i="4" s="1"/>
  <c r="E3" i="4" a="1"/>
  <c r="E3" i="4" s="1"/>
  <c r="F3" i="4" a="1"/>
  <c r="F3" i="4"/>
  <c r="D4" i="4" a="1"/>
  <c r="D4" i="4"/>
  <c r="E4" i="4" a="1"/>
  <c r="E4" i="4" s="1"/>
  <c r="F4" i="4" a="1"/>
  <c r="F4" i="4" s="1"/>
  <c r="D5" i="4" a="1"/>
  <c r="D5" i="4"/>
  <c r="E5" i="4" a="1"/>
  <c r="E5" i="4"/>
  <c r="F5" i="4" a="1"/>
  <c r="F5" i="4" s="1"/>
  <c r="D6" i="4" a="1"/>
  <c r="D6" i="4" s="1"/>
  <c r="E6" i="4" a="1"/>
  <c r="E6" i="4"/>
  <c r="F6" i="4" a="1"/>
  <c r="F6" i="4"/>
  <c r="D7" i="4" a="1"/>
  <c r="D7" i="4" s="1"/>
  <c r="E7" i="4" a="1"/>
  <c r="E7" i="4" s="1"/>
  <c r="F7" i="4" a="1"/>
  <c r="F7" i="4"/>
  <c r="D8" i="4" a="1"/>
  <c r="D8" i="4"/>
  <c r="E8" i="4" a="1"/>
  <c r="E8" i="4" s="1"/>
  <c r="F8" i="4" a="1"/>
  <c r="F8" i="4" s="1"/>
  <c r="D9" i="4" a="1"/>
  <c r="D9" i="4"/>
  <c r="E9" i="4" a="1"/>
  <c r="E9" i="4"/>
  <c r="F9" i="4" a="1"/>
  <c r="F9" i="4" s="1"/>
  <c r="D10" i="4" a="1"/>
  <c r="D10" i="4" s="1"/>
  <c r="E10" i="4" a="1"/>
  <c r="E10" i="4"/>
  <c r="F10" i="4" a="1"/>
  <c r="F10" i="4"/>
  <c r="D11" i="4" a="1"/>
  <c r="D11" i="4" s="1"/>
  <c r="E11" i="4" a="1"/>
  <c r="E11" i="4" s="1"/>
  <c r="F11" i="4" a="1"/>
  <c r="F11" i="4"/>
  <c r="D12" i="4" a="1"/>
  <c r="D12" i="4"/>
  <c r="E12" i="4" a="1"/>
  <c r="E12" i="4" s="1"/>
  <c r="F12" i="4" a="1"/>
  <c r="F12" i="4" s="1"/>
  <c r="D13" i="4" a="1"/>
  <c r="D13" i="4"/>
  <c r="E13" i="4" a="1"/>
  <c r="E13" i="4"/>
  <c r="F13" i="4" a="1"/>
  <c r="F13" i="4" s="1"/>
  <c r="D14" i="4" a="1"/>
  <c r="D14" i="4" s="1"/>
  <c r="G14" i="4" s="1"/>
  <c r="I14" i="4" s="1"/>
  <c r="J14" i="4" s="1"/>
  <c r="E14" i="4" a="1"/>
  <c r="E14" i="4"/>
  <c r="F14" i="4" a="1"/>
  <c r="F14" i="4"/>
  <c r="D15" i="4" a="1"/>
  <c r="D15" i="4" s="1"/>
  <c r="E15" i="4" a="1"/>
  <c r="E15" i="4" s="1"/>
  <c r="F15" i="4" a="1"/>
  <c r="F15" i="4"/>
  <c r="D16" i="4" a="1"/>
  <c r="D16" i="4"/>
  <c r="E16" i="4" a="1"/>
  <c r="E16" i="4" s="1"/>
  <c r="F16" i="4" a="1"/>
  <c r="F16" i="4" s="1"/>
  <c r="D17" i="4" a="1"/>
  <c r="D17" i="4"/>
  <c r="E17" i="4" a="1"/>
  <c r="E17" i="4"/>
  <c r="F17" i="4" a="1"/>
  <c r="F17" i="4" s="1"/>
  <c r="D18" i="4" a="1"/>
  <c r="D18" i="4" s="1"/>
  <c r="E18" i="4" a="1"/>
  <c r="E18" i="4"/>
  <c r="F18" i="4" a="1"/>
  <c r="F18" i="4"/>
  <c r="D19" i="4" a="1"/>
  <c r="D19" i="4" s="1"/>
  <c r="E19" i="4" a="1"/>
  <c r="E19" i="4" s="1"/>
  <c r="F19" i="4" a="1"/>
  <c r="F19" i="4"/>
  <c r="D20" i="4" a="1"/>
  <c r="D20" i="4"/>
  <c r="E20" i="4" a="1"/>
  <c r="E20" i="4" s="1"/>
  <c r="F20" i="4" a="1"/>
  <c r="F20" i="4" s="1"/>
  <c r="E21" i="4" a="1"/>
  <c r="E21" i="4"/>
  <c r="F21" i="4" a="1"/>
  <c r="F21" i="4" s="1"/>
  <c r="D22" i="4" a="1"/>
  <c r="D22" i="4" s="1"/>
  <c r="E22" i="4" a="1"/>
  <c r="E22" i="4"/>
  <c r="F22" i="4" a="1"/>
  <c r="F22" i="4"/>
  <c r="D23" i="4" a="1"/>
  <c r="D23" i="4" s="1"/>
  <c r="E23" i="4" a="1"/>
  <c r="E23" i="4" s="1"/>
  <c r="F23" i="4" a="1"/>
  <c r="F23" i="4"/>
  <c r="D24" i="4" a="1"/>
  <c r="D24" i="4"/>
  <c r="E24" i="4" a="1"/>
  <c r="E24" i="4" s="1"/>
  <c r="F24" i="4" a="1"/>
  <c r="F24" i="4" s="1"/>
  <c r="D25" i="4" a="1"/>
  <c r="D25" i="4"/>
  <c r="E25" i="4" a="1"/>
  <c r="E25" i="4"/>
  <c r="F25" i="4" a="1"/>
  <c r="F25" i="4" s="1"/>
  <c r="D26" i="4" a="1"/>
  <c r="D26" i="4" s="1"/>
  <c r="E26" i="4" a="1"/>
  <c r="E26" i="4"/>
  <c r="F26" i="4" a="1"/>
  <c r="F26" i="4"/>
  <c r="D27" i="4" a="1"/>
  <c r="D27" i="4" s="1"/>
  <c r="E27" i="4" a="1"/>
  <c r="E27" i="4" s="1"/>
  <c r="F27" i="4" a="1"/>
  <c r="F27" i="4"/>
  <c r="D28" i="4" a="1"/>
  <c r="D28" i="4"/>
  <c r="E28" i="4" a="1"/>
  <c r="E28" i="4" s="1"/>
  <c r="F28" i="4" a="1"/>
  <c r="F28" i="4" s="1"/>
  <c r="D29" i="4" a="1"/>
  <c r="D29" i="4"/>
  <c r="G29" i="4" s="1"/>
  <c r="I29" i="4" s="1"/>
  <c r="J29" i="4" s="1"/>
  <c r="E29" i="4" a="1"/>
  <c r="E29" i="4"/>
  <c r="F29" i="4" a="1"/>
  <c r="F29" i="4" s="1"/>
  <c r="D30" i="4" a="1"/>
  <c r="D30" i="4" s="1"/>
  <c r="E30" i="4" a="1"/>
  <c r="E30" i="4"/>
  <c r="F30" i="4" a="1"/>
  <c r="F30" i="4"/>
  <c r="D31" i="4" a="1"/>
  <c r="D31" i="4" s="1"/>
  <c r="E31" i="4" a="1"/>
  <c r="E31" i="4" s="1"/>
  <c r="F31" i="4" a="1"/>
  <c r="F31" i="4"/>
  <c r="D32" i="4" a="1"/>
  <c r="D32" i="4"/>
  <c r="E32" i="4" a="1"/>
  <c r="E32" i="4" s="1"/>
  <c r="F32" i="4" a="1"/>
  <c r="F32" i="4" s="1"/>
  <c r="D33" i="4" a="1"/>
  <c r="D33" i="4"/>
  <c r="E33" i="4" a="1"/>
  <c r="E33" i="4"/>
  <c r="F33" i="4" a="1"/>
  <c r="F33" i="4" s="1"/>
  <c r="D34" i="4" a="1"/>
  <c r="D34" i="4" s="1"/>
  <c r="E34" i="4" a="1"/>
  <c r="E34" i="4" s="1"/>
  <c r="F34" i="4" a="1"/>
  <c r="F34" i="4"/>
  <c r="D35" i="4" a="1"/>
  <c r="D35" i="4" s="1"/>
  <c r="E35" i="4" a="1"/>
  <c r="E35" i="4" s="1"/>
  <c r="F35" i="4" a="1"/>
  <c r="F35" i="4" s="1"/>
  <c r="D36" i="4" a="1"/>
  <c r="D36" i="4" s="1"/>
  <c r="E36" i="4" a="1"/>
  <c r="E36" i="4" s="1"/>
  <c r="F36" i="4" a="1"/>
  <c r="F36" i="4" s="1"/>
  <c r="D37" i="4" a="1"/>
  <c r="D37" i="4" s="1"/>
  <c r="E37" i="4" a="1"/>
  <c r="E37" i="4" s="1"/>
  <c r="F37" i="4" a="1"/>
  <c r="F37" i="4" s="1"/>
  <c r="F2" i="4" a="1"/>
  <c r="F2" i="4" s="1"/>
  <c r="E2" i="4" a="1"/>
  <c r="E2" i="4" s="1"/>
  <c r="D2" i="4" a="1"/>
  <c r="D2" i="4" s="1"/>
  <c r="H100" i="4" l="1"/>
  <c r="H104" i="4"/>
  <c r="H109" i="4"/>
  <c r="H91" i="4"/>
  <c r="H89" i="4"/>
  <c r="G98" i="4"/>
  <c r="I98" i="4" s="1"/>
  <c r="J98" i="4" s="1"/>
  <c r="G93" i="4"/>
  <c r="I93" i="4" s="1"/>
  <c r="J93" i="4" s="1"/>
  <c r="H83" i="4"/>
  <c r="H84" i="4"/>
  <c r="G82" i="4"/>
  <c r="I82" i="4" s="1"/>
  <c r="J82" i="4" s="1"/>
  <c r="H107" i="4"/>
  <c r="H105" i="4"/>
  <c r="H76" i="4"/>
  <c r="H75" i="4"/>
  <c r="G74" i="4"/>
  <c r="I74" i="4" s="1"/>
  <c r="J74" i="4" s="1"/>
  <c r="H73" i="4"/>
  <c r="H68" i="4"/>
  <c r="G66" i="4"/>
  <c r="I66" i="4" s="1"/>
  <c r="J66" i="4" s="1"/>
  <c r="G53" i="4"/>
  <c r="I53" i="4" s="1"/>
  <c r="J53" i="4" s="1"/>
  <c r="G45" i="4"/>
  <c r="I45" i="4" s="1"/>
  <c r="J45" i="4" s="1"/>
  <c r="H57" i="4"/>
  <c r="H55" i="4"/>
  <c r="H60" i="4"/>
  <c r="H59" i="4"/>
  <c r="H52" i="4"/>
  <c r="H41" i="4"/>
  <c r="G9" i="4"/>
  <c r="I9" i="4" s="1"/>
  <c r="J9" i="4" s="1"/>
  <c r="G106" i="4"/>
  <c r="I106" i="4" s="1"/>
  <c r="J106" i="4" s="1"/>
  <c r="H97" i="4"/>
  <c r="G85" i="4"/>
  <c r="I85" i="4" s="1"/>
  <c r="J85" i="4" s="1"/>
  <c r="G42" i="4"/>
  <c r="I42" i="4" s="1"/>
  <c r="J42" i="4" s="1"/>
  <c r="G21" i="4"/>
  <c r="I21" i="4" s="1"/>
  <c r="J21" i="4" s="1"/>
  <c r="G101" i="4"/>
  <c r="I101" i="4" s="1"/>
  <c r="J101" i="4" s="1"/>
  <c r="G58" i="4"/>
  <c r="I58" i="4" s="1"/>
  <c r="J58" i="4" s="1"/>
  <c r="H49" i="4"/>
  <c r="G37" i="4"/>
  <c r="I37" i="4" s="1"/>
  <c r="J37" i="4" s="1"/>
  <c r="G77" i="4"/>
  <c r="I77" i="4" s="1"/>
  <c r="J77" i="4" s="1"/>
  <c r="G50" i="4"/>
  <c r="I50" i="4" s="1"/>
  <c r="J50" i="4" s="1"/>
  <c r="H43" i="4"/>
  <c r="G90" i="4"/>
  <c r="I90" i="4" s="1"/>
  <c r="J90" i="4" s="1"/>
  <c r="H81" i="4"/>
  <c r="G69" i="4"/>
  <c r="I69" i="4" s="1"/>
  <c r="J69" i="4" s="1"/>
  <c r="G5" i="4"/>
  <c r="I5" i="4" s="1"/>
  <c r="G61" i="4"/>
  <c r="I61" i="4" s="1"/>
  <c r="J61" i="4" s="1"/>
  <c r="H99" i="4"/>
  <c r="H67" i="4"/>
  <c r="H63" i="4"/>
  <c r="H39" i="4"/>
  <c r="H51" i="4"/>
  <c r="H27" i="4"/>
  <c r="H20" i="4"/>
  <c r="G34" i="4"/>
  <c r="I34" i="4" s="1"/>
  <c r="J34" i="4" s="1"/>
  <c r="H33" i="4"/>
  <c r="G13" i="4"/>
  <c r="I13" i="4" s="1"/>
  <c r="J13" i="4" s="1"/>
  <c r="H19" i="4"/>
  <c r="G6" i="4"/>
  <c r="I6" i="4" s="1"/>
  <c r="J6" i="4" s="1"/>
  <c r="H35" i="4"/>
  <c r="H28" i="4"/>
  <c r="H12" i="4"/>
  <c r="G30" i="4"/>
  <c r="I30" i="4" s="1"/>
  <c r="J30" i="4" s="1"/>
  <c r="H17" i="4"/>
  <c r="H11" i="4"/>
  <c r="H36" i="4"/>
  <c r="G22" i="4"/>
  <c r="I22" i="4" s="1"/>
  <c r="J22" i="4" s="1"/>
  <c r="H3" i="4"/>
  <c r="H4" i="4"/>
  <c r="H62" i="4"/>
  <c r="G62" i="4"/>
  <c r="I62" i="4" s="1"/>
  <c r="J62" i="4" s="1"/>
  <c r="G94" i="4"/>
  <c r="I94" i="4" s="1"/>
  <c r="J94" i="4" s="1"/>
  <c r="H94" i="4"/>
  <c r="G86" i="4"/>
  <c r="I86" i="4" s="1"/>
  <c r="J86" i="4" s="1"/>
  <c r="H86" i="4"/>
  <c r="G54" i="4"/>
  <c r="I54" i="4" s="1"/>
  <c r="J54" i="4" s="1"/>
  <c r="H54" i="4"/>
  <c r="H78" i="4"/>
  <c r="G78" i="4"/>
  <c r="I78" i="4" s="1"/>
  <c r="J78" i="4" s="1"/>
  <c r="H46" i="4"/>
  <c r="G46" i="4"/>
  <c r="I46" i="4" s="1"/>
  <c r="J46" i="4" s="1"/>
  <c r="H70" i="4"/>
  <c r="G70" i="4"/>
  <c r="I70" i="4" s="1"/>
  <c r="J70" i="4" s="1"/>
  <c r="G38" i="4"/>
  <c r="I38" i="4" s="1"/>
  <c r="J38" i="4" s="1"/>
  <c r="H38" i="4"/>
  <c r="G10" i="4"/>
  <c r="I10" i="4" s="1"/>
  <c r="J10" i="4" s="1"/>
  <c r="H13" i="4"/>
  <c r="G18" i="4"/>
  <c r="I18" i="4" s="1"/>
  <c r="J18" i="4" s="1"/>
  <c r="H21" i="4"/>
  <c r="G26" i="4"/>
  <c r="I26" i="4" s="1"/>
  <c r="J26" i="4" s="1"/>
  <c r="H5" i="4"/>
  <c r="H87" i="4"/>
  <c r="G87" i="4"/>
  <c r="I87" i="4" s="1"/>
  <c r="J87" i="4" s="1"/>
  <c r="H23" i="4"/>
  <c r="G23" i="4"/>
  <c r="I23" i="4" s="1"/>
  <c r="J23" i="4" s="1"/>
  <c r="H7" i="4"/>
  <c r="G7" i="4"/>
  <c r="I7" i="4" s="1"/>
  <c r="J7" i="4" s="1"/>
  <c r="H103" i="4"/>
  <c r="G103" i="4"/>
  <c r="I103" i="4" s="1"/>
  <c r="J103" i="4" s="1"/>
  <c r="H95" i="4"/>
  <c r="G95" i="4"/>
  <c r="I95" i="4" s="1"/>
  <c r="J95" i="4" s="1"/>
  <c r="G31" i="4"/>
  <c r="I31" i="4" s="1"/>
  <c r="J31" i="4" s="1"/>
  <c r="H31" i="4"/>
  <c r="G102" i="4"/>
  <c r="I102" i="4" s="1"/>
  <c r="J102" i="4" s="1"/>
  <c r="H102" i="4"/>
  <c r="G15" i="4"/>
  <c r="I15" i="4" s="1"/>
  <c r="J15" i="4" s="1"/>
  <c r="H15" i="4"/>
  <c r="G44" i="4"/>
  <c r="I44" i="4" s="1"/>
  <c r="J44" i="4" s="1"/>
  <c r="G60" i="4"/>
  <c r="I60" i="4" s="1"/>
  <c r="J60" i="4" s="1"/>
  <c r="G84" i="4"/>
  <c r="I84" i="4" s="1"/>
  <c r="J84" i="4" s="1"/>
  <c r="G47" i="4"/>
  <c r="I47" i="4" s="1"/>
  <c r="J47" i="4" s="1"/>
  <c r="G79" i="4"/>
  <c r="I79" i="4" s="1"/>
  <c r="J79" i="4" s="1"/>
  <c r="H34" i="4"/>
  <c r="H42" i="4"/>
  <c r="H50" i="4"/>
  <c r="G71" i="4"/>
  <c r="I71" i="4" s="1"/>
  <c r="J71" i="4" s="1"/>
  <c r="G92" i="4"/>
  <c r="I92" i="4" s="1"/>
  <c r="J92" i="4" s="1"/>
  <c r="H29" i="4"/>
  <c r="G100" i="4"/>
  <c r="I100" i="4" s="1"/>
  <c r="J100" i="4" s="1"/>
  <c r="G63" i="4"/>
  <c r="I63" i="4" s="1"/>
  <c r="J63" i="4" s="1"/>
  <c r="G36" i="4"/>
  <c r="I36" i="4" s="1"/>
  <c r="J36" i="4" s="1"/>
  <c r="G52" i="4"/>
  <c r="I52" i="4" s="1"/>
  <c r="J52" i="4" s="1"/>
  <c r="G68" i="4"/>
  <c r="I68" i="4" s="1"/>
  <c r="J68" i="4" s="1"/>
  <c r="G76" i="4"/>
  <c r="I76" i="4" s="1"/>
  <c r="J76" i="4" s="1"/>
  <c r="G55" i="4"/>
  <c r="I55" i="4" s="1"/>
  <c r="J55" i="4" s="1"/>
  <c r="H8" i="4"/>
  <c r="H14" i="4"/>
  <c r="H16" i="4"/>
  <c r="H22" i="4"/>
  <c r="H24" i="4"/>
  <c r="H30" i="4"/>
  <c r="H32" i="4"/>
  <c r="H37" i="4"/>
  <c r="H45" i="4"/>
  <c r="H53" i="4"/>
  <c r="H61" i="4"/>
  <c r="H69" i="4"/>
  <c r="H77" i="4"/>
  <c r="H85" i="4"/>
  <c r="H40" i="4"/>
  <c r="H48" i="4"/>
  <c r="H56" i="4"/>
  <c r="H64" i="4"/>
  <c r="H72" i="4"/>
  <c r="H80" i="4"/>
  <c r="H93" i="4"/>
  <c r="G39" i="4"/>
  <c r="I39" i="4" s="1"/>
  <c r="J39" i="4" s="1"/>
  <c r="H88" i="4"/>
  <c r="H6" i="4"/>
  <c r="G4" i="4"/>
  <c r="I4" i="4" s="1"/>
  <c r="J4" i="4" s="1"/>
  <c r="G12" i="4"/>
  <c r="I12" i="4" s="1"/>
  <c r="J12" i="4" s="1"/>
  <c r="G20" i="4"/>
  <c r="I20" i="4" s="1"/>
  <c r="J20" i="4" s="1"/>
  <c r="G28" i="4"/>
  <c r="I28" i="4" s="1"/>
  <c r="J28" i="4" s="1"/>
  <c r="H101" i="4"/>
  <c r="G2" i="4"/>
  <c r="I2" i="4" s="1"/>
  <c r="J2" i="4" s="1"/>
  <c r="G17" i="4"/>
  <c r="I17" i="4" s="1"/>
  <c r="J17" i="4" s="1"/>
  <c r="H18" i="4"/>
  <c r="I25" i="4"/>
  <c r="J25" i="4" s="1"/>
  <c r="H26" i="4"/>
  <c r="G33" i="4"/>
  <c r="I33" i="4" s="1"/>
  <c r="J33" i="4" s="1"/>
  <c r="G41" i="4"/>
  <c r="I41" i="4" s="1"/>
  <c r="J41" i="4" s="1"/>
  <c r="G49" i="4"/>
  <c r="I49" i="4" s="1"/>
  <c r="J49" i="4" s="1"/>
  <c r="G57" i="4"/>
  <c r="I57" i="4" s="1"/>
  <c r="J57" i="4" s="1"/>
  <c r="H58" i="4"/>
  <c r="G65" i="4"/>
  <c r="I65" i="4" s="1"/>
  <c r="J65" i="4" s="1"/>
  <c r="H66" i="4"/>
  <c r="G73" i="4"/>
  <c r="I73" i="4" s="1"/>
  <c r="J73" i="4" s="1"/>
  <c r="H74" i="4"/>
  <c r="G81" i="4"/>
  <c r="I81" i="4" s="1"/>
  <c r="J81" i="4" s="1"/>
  <c r="H82" i="4"/>
  <c r="G89" i="4"/>
  <c r="I89" i="4" s="1"/>
  <c r="J89" i="4" s="1"/>
  <c r="H90" i="4"/>
  <c r="G97" i="4"/>
  <c r="I97" i="4" s="1"/>
  <c r="J97" i="4" s="1"/>
  <c r="H98" i="4"/>
  <c r="G105" i="4"/>
  <c r="I105" i="4" s="1"/>
  <c r="J105" i="4" s="1"/>
  <c r="H106" i="4"/>
  <c r="H2" i="4"/>
  <c r="H10" i="4"/>
  <c r="G8" i="4"/>
  <c r="I8" i="4" s="1"/>
  <c r="J8" i="4" s="1"/>
  <c r="H9" i="4"/>
  <c r="G16" i="4"/>
  <c r="I16" i="4" s="1"/>
  <c r="J16" i="4" s="1"/>
  <c r="G24" i="4"/>
  <c r="I24" i="4" s="1"/>
  <c r="J24" i="4" s="1"/>
  <c r="G32" i="4"/>
  <c r="I32" i="4" s="1"/>
  <c r="J32" i="4" s="1"/>
  <c r="G40" i="4"/>
  <c r="I40" i="4" s="1"/>
  <c r="J40" i="4" s="1"/>
  <c r="G48" i="4"/>
  <c r="I48" i="4" s="1"/>
  <c r="J48" i="4" s="1"/>
  <c r="G56" i="4"/>
  <c r="I56" i="4" s="1"/>
  <c r="J56" i="4" s="1"/>
  <c r="G64" i="4"/>
  <c r="I64" i="4" s="1"/>
  <c r="J64" i="4" s="1"/>
  <c r="G72" i="4"/>
  <c r="I72" i="4" s="1"/>
  <c r="J72" i="4" s="1"/>
  <c r="G80" i="4"/>
  <c r="I80" i="4" s="1"/>
  <c r="J80" i="4" s="1"/>
  <c r="G88" i="4"/>
  <c r="I88" i="4" s="1"/>
  <c r="J88" i="4" s="1"/>
  <c r="G96" i="4"/>
  <c r="I96" i="4" s="1"/>
  <c r="J96" i="4" s="1"/>
  <c r="G104" i="4"/>
  <c r="I104" i="4" s="1"/>
  <c r="J104" i="4" s="1"/>
  <c r="G109" i="4"/>
  <c r="I109" i="4" s="1"/>
  <c r="J109" i="4" s="1"/>
  <c r="G108" i="4"/>
  <c r="I108" i="4" s="1"/>
  <c r="J108" i="4" s="1"/>
  <c r="G3" i="4"/>
  <c r="I3" i="4" s="1"/>
  <c r="J3" i="4" s="1"/>
  <c r="G11" i="4"/>
  <c r="I11" i="4" s="1"/>
  <c r="J11" i="4" s="1"/>
  <c r="G19" i="4"/>
  <c r="I19" i="4" s="1"/>
  <c r="J19" i="4" s="1"/>
  <c r="G27" i="4"/>
  <c r="I27" i="4" s="1"/>
  <c r="J27" i="4" s="1"/>
  <c r="G35" i="4"/>
  <c r="I35" i="4" s="1"/>
  <c r="J35" i="4" s="1"/>
  <c r="G43" i="4"/>
  <c r="I43" i="4" s="1"/>
  <c r="J43" i="4" s="1"/>
  <c r="G51" i="4"/>
  <c r="I51" i="4" s="1"/>
  <c r="J51" i="4" s="1"/>
  <c r="G59" i="4"/>
  <c r="I59" i="4" s="1"/>
  <c r="J59" i="4" s="1"/>
  <c r="G67" i="4"/>
  <c r="I67" i="4" s="1"/>
  <c r="J67" i="4" s="1"/>
  <c r="G75" i="4"/>
  <c r="I75" i="4" s="1"/>
  <c r="J75" i="4" s="1"/>
  <c r="G83" i="4"/>
  <c r="I83" i="4" s="1"/>
  <c r="J83" i="4" s="1"/>
  <c r="G91" i="4"/>
  <c r="I91" i="4" s="1"/>
  <c r="J91" i="4" s="1"/>
  <c r="G99" i="4"/>
  <c r="I99" i="4" s="1"/>
  <c r="J99" i="4" s="1"/>
  <c r="G107" i="4"/>
  <c r="I107" i="4" s="1"/>
  <c r="J107"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<sst xmlns="http://schemas.openxmlformats.org/spreadsheetml/2006/main" count="1834" uniqueCount="838">
  <si>
    <t>profil_id</t>
  </si>
  <si>
    <t>variante</t>
  </si>
  <si>
    <t>timestamp</t>
  </si>
  <si>
    <t>modell</t>
  </si>
  <si>
    <t>temperature</t>
  </si>
  <si>
    <t>baustein_1_einmalzahlung_eur</t>
  </si>
  <si>
    <t>baustein_2_unfallrente_monatlich_eur</t>
  </si>
  <si>
    <t>beruecksichtigte_faktoren</t>
  </si>
  <si>
    <t>berechnungslogik_baustein_1</t>
  </si>
  <si>
    <t>berechnungslogik_baustein_2</t>
  </si>
  <si>
    <t>getroffene_annahmen</t>
  </si>
  <si>
    <t>raw_response</t>
  </si>
  <si>
    <t>status</t>
  </si>
  <si>
    <t>fehler</t>
  </si>
  <si>
    <t>P01</t>
  </si>
  <si>
    <t>V1</t>
  </si>
  <si>
    <t>claude-sonnet-4-6</t>
  </si>
  <si>
    <t>["Alter 35 Jahre (lange verbleibende Erwerbsdauer bis zur Regelpension mit 65 Jahren = 30 Jahre)", "Nettoeinkommen 1.800 €/Monat", "Bürotätigkeit (geringes Berufsrisiko, keine erhöhte Gefährdung am Arbeitsplatz)", "Ledig, keine Kinder (keine Unterhaltspflichten, kein erhöhter Absicherungsbedarf für Dritte)", "Gesetzliche ASVG-Invaliditätspension als Grundleistung bei dauernder Erwerbsminderung"]</t>
  </si>
  <si>
    <t>Baustein 1 deckt einmalige Kosten im Invaliditätsfall ab: Wohnungsadaptierung, Rehabilitationsmaßnahmen und Hilfsmittel. Als Referenzrahmen für eine vollständige Wohnungsadaptierung (barrierefreier Umbau, Badezimmer, Türbreiten, ggf. Aufzug) werden in Österreich typischerweise 30.000–60.000 € veranschlagt. Da der Kunde ledig ist und keine Unterhaltspflichten hat, ist kein erhöhter Puffer für familiäre Mehrbedarfe erforderlich. Das Berufsrisiko (Bürotätigkeit) ist gering, was das Gesamtschadenpotenzial moderat hält. Angesetzt werden: Wohnungsadaptierung pauschal 30.000 €, Rehabilitationskosten und Hilfsmittel (Rollstuhl, Gehhilfen, technische Hilfsmittel) pauschal 15.000 €, Einkommensausfall während Rehabilitationsphase (3 Monate × 1.800 €) 5.400 €, Sicherheitspuffer für nicht vorhersehbare Einmalkosten 3.600 €. Summe: 30.000 + 15.000 + 5.400 + 3.600 = 54.000 €.</t>
  </si>
  <si>
    <t>Baustein 2 schließt die monatliche Versorgungslücke zwischen gesetzlicher ASVG-Invaliditätspension und dem individuellen Nettobedarf. Referenzwert gesetzliche ASVG-Invaliditätspension: Bei einem Nettoeinkommen von 1.800 €/Monat und einem Alter von 35 Jahren ist die Beitragshistorie noch vergleichsweise kurz. Die ASVG-Invaliditätspension beträgt erfahrungsgemäß für diese Einkommens- und Altersgruppe ca. 60–65 % des Nettoeinkommens, angesetzt werden 65 % × 1.800 € = 1.170 €/Monat als Referenzwert für die gesetzliche Grundleistung. Individueller Nettobedarf: Da der Kunde ledig ist und keine Unterhaltspflichten hat, wird der Bedarf mit dem aktuellen Nettoeinkommen von 1.800 €/Monat gleichgesetzt (kein familiärer Mehrbedarf). Versorgungslücke: 1.800 € − 1.170 € = 630 €/Monat. Abgerundet auf einen glatten Betrag: 600 €/Monat. Die Bürotätigkeit begründet kein erhöhtes Risikoprofil, das eine Aufstockung erfordern würde. Das Alter von 35 Jahren bedeutet eine verbleibende Rentenbezugsdauer von potenziell 30+ Jahren, was eine dauerhafte monatliche Absicherung gegenüber einer reinen Kapitalleistung sinnvoll macht.</t>
  </si>
  <si>
    <t>1. ASVG-Invaliditätspension: Angenommen werden 65 % des Nettoeinkommens (= 1.170 €/Monat) als Näherungswert für die gesetzliche Grundleistung bei einem 35-jährigen Büroarbeitnehmer mit einem Nettoeinkommen von 1.800 €/Monat. Der tatsächliche Pensionsbetrag hängt von der individuellen Beitragshistorie ab und kann nur durch eine ASVG-Kontoabfrage exakt ermittelt werden. 2. Regelpensionsalter: 65 Jahre, verbleibende Erwerbsdauer 30 Jahre. 3. Einmalkosten Baustein 1: Pauschalen für Wohnungsadaptierung (30.000 €), Hilfsmittel/Rehabilitation (15.000 €), Einkommensausfall Reha-Phase 3 Monate (5.400 €) und Sicherheitspuffer (3.600 €) basieren auf österreichischen Marktrichtwerten; individuelle Wohnsituation (Miete/Eigentum, Stockwerk, Haustyp) ist im Profil nicht angegeben und wurde nicht berücksichtigt. 4. Private Unfallversicherungsleistung wird ab 50 % Invaliditätsgrad ausgelöst (marktübliche Bedingung). 5. Keine weiteren Privatversicherungen oder Vermögenswerte des Kunden bekannt; es wird von keiner zusätzlichen privaten Absicherung ausgegangen.</t>
  </si>
  <si>
    <t>{"baustein_1_einmalzahlung_eur": 54000, "baustein_2_unfallrente_monatlich_eur": 600, "beruecksichtigte_faktoren": ["Alter 35 Jahre (lange verbleibende Erwerbsdauer bis zur Regelpension mit 65 Jahren = 30 Jahre)", "Nettoeinkommen 1.800 €/Monat", "Bürotätigkeit (geringes Berufsrisiko, keine erhöhte Gefährdung am Arbeitsplatz)", "Ledig, keine Kinder (keine Unterhaltspflichten, kein erhöhter Absicherungsbedarf für Dritte)", "Gesetzliche ASVG-Invaliditätspension als Grundleistung bei dauernder Erwerbsminderung"], "berechnungslogik_baustein_1": "Baustein 1 deckt einmalige Kosten im Invaliditätsfall ab: Wohnungsadaptierung, Rehabilitationsmaßnahmen und Hilfsmittel. Als Referenzrahmen für eine vollständige Wohnungsadaptierung (barrierefreier Umbau, Badezimmer, Türbreiten, ggf. Aufzug) werden in Österreich typischerweise 30.000–60.000 € veranschlagt. Da der Kunde ledig ist und keine Unterhaltspflichten hat, ist kein erhöhter Puffer für familiäre Mehrbedarfe erforderlich. Das Berufsrisiko (Bürotätigkeit) ist gering, was das Gesamtschadenpotenzial moderat hält. Angesetzt werden: Wohnungsadaptierung pauschal 30.000 €, Rehabilitationskosten und Hilfsmittel (Rollstuhl, Gehhilfen, technische Hilfsmittel) pauschal 15.000 €, Einkommensausfall während Rehabilitationsphase (3 Monate × 1.800 €) 5.400 €, Sicherheitspuffer für nicht vorhersehbare Einmalkosten 3.600 €. Summe: 30.000 + 15.000 + 5.400 + 3.600 = 54.000 €.", "berechnungslogik_baustein_2": "Baustein 2 schließt die monatliche Versorgungslücke zwischen gesetzlicher ASVG-Invaliditätspension und dem individuellen Nettobedarf. Referenzwert gesetzliche ASVG-Invaliditätspension: Bei einem Nettoeinkommen von 1.800 €/Monat und einem Alter von 35 Jahren ist die Beitragshistorie noch vergleichsweise kurz. Die ASVG-Invaliditätspension beträgt erfahrungsgemäß für diese Einkommens- und Altersgruppe ca. 60–65 % des Nettoeinkommens, angesetzt werden 65 % × 1.800 € = 1.170 €/Monat als Referenzwert für die gesetzliche Grundleistung. Individueller Nettobedarf: Da der Kunde ledig ist und keine Unterhaltspflichten hat, wird der Bedarf mit dem aktuellen Nettoeinkommen von 1.800 €/Monat gleichgesetzt (kein familiärer Mehrbedarf). Versorgungslücke: 1.800 € − 1.170 € = 630 €/Monat. Abgerundet auf einen glatten Betrag: 600 €/Monat. Die Bürotätigkeit begründet kein erhöhtes Risikoprofil, das eine Aufstockung erfordern würde. Das Alter von 35 Jahren bedeutet eine verbleibende Rentenbezugsdauer von potenziell 30+ Jahren, was eine dauerhafte monatliche Absicherung gegenüber einer reinen Kapitalleistung sinnvoll macht.", "getroffene_annahmen": "1. ASVG-Invaliditätspension: Angenommen werden 65 % des Nettoeinkommens (= 1.170 €/Monat) als Näherungswert für die gesetzliche Grundleistung bei einem 35-jährigen Büroarbeitnehmer mit einem Nettoeinkommen von 1.800 €/Monat. Der tatsächliche Pensionsbetrag hängt von der individuellen Beitragshistorie ab und kann nur durch eine ASVG-Kontoabfrage exakt ermittelt werden. 2. Regelpensionsalter: 65 Jahre, verbleibende Erwerbsdauer 30 Jahre. 3. Einmalkosten Baustein 1: Pauschalen für Wohnungsadaptierung (30.000 €), Hilfsmittel/Rehabilitation (15.000 €), Einkommensausfall Reha-Phase 3 Monate (5.400 €) und Sicherheitspuffer (3.600 €) basieren auf österreichischen Marktrichtwerten; individuelle Wohnsituation (Miete/Eigentum, Stockwerk, Haustyp) ist im Profil nicht angegeben und wurde nicht berücksichtigt. 4. Private Unfallversicherungsleistung wird ab 50 % Invaliditätsgrad ausgelöst (marktübliche Bedingung). 5. Keine weiteren Privatversicherungen oder Vermögenswerte des Kunden bekannt; es wird von keiner zusätzlichen privaten Absicherung ausgegangen."}</t>
  </si>
  <si>
    <t>ok</t>
  </si>
  <si>
    <t>V2</t>
  </si>
  <si>
    <t>["Alter: 35 Jahre (lange Resterwerbsdauer bis zur Regelpension, ca. 30 Jahre)", "Monatliches Nettoeinkommen: 1.800 EUR", "Berufsgruppe: Bürotätigkeit (geringes Berufsrisiko, Berufsgruppe 1)", "Familienstand: ledig, keine Kinder, keine Unterhaltspflichten (kein erhöhter Absicherungsbedarf für Dritte)", "Gesetzliche Invaliditätspension nach ASVG als Grundleistung"]</t>
  </si>
  <si>
    <t>Baustein 1 deckt einmalige Kosten im Invaliditätsfall ab: Wohnungsadaptierung, Rehabilitationsmaßnahmen, Hilfsmittel (z. B. Rollstuhl, technische Ausstattung) sowie einen Liquiditätspuffer in der Übergangsphase. Als Referenzrahmen für eine behindertengerechte Wohnungsadaptierung in Österreich werden pauschal 25.000–40.000 EUR angesetzt; für Hilfsmittel und Rehabilitation weitere 10.000–15.000 EUR. Da der Kunde ledig und kinderlos ist und keine Unterhaltspflichten hat, ist kein erhöhter Kapitalbedarf für familiäre Absicherung anzusetzen. Andererseits besteht kein zweites Haushaltseinkommen als Puffer. Summe der Einzelpositionen: Wohnungsadaptierung 30.000 EUR + Hilfsmittel/Rehabilitation 15.000 EUR + Übergangs-/Liquiditätspuffer 5.000 EUR = 50.000 EUR.</t>
  </si>
  <si>
    <t>Baustein 2 schließt die monatliche Versorgungslücke zwischen individuellem Bedarf und gesetzlicher Grundleistung. Ausgangspunkt: Nettoeinkommen 1.800 EUR/Monat. Gesetzliche ASVG-Invaliditätspension: Bei 35 Jahren und einer typischen Beitragszeit von ca. 15 Versicherungsjahren (Berufseinstieg mit ca. 20 Jahren) ergibt sich nach ASVG-Bemessungslogik eine Invaliditätspension von schätzungsweise 900–1.000 EUR netto/Monat (Annahme: ca. 50–55 % des Nettoeinkommens als gesetzliche Grundleistung, was dem typischen Ersatzgrad für diese Einkommens- und Beitragsklasse entspricht; Referenzwert: 950 EUR). Versorgungslücke: 1.800 EUR – 950 EUR = 850 EUR/Monat. Da der Kunde ledig und ohne Unterhaltspflichten ist, wird kein Aufschlag für familiäre Verpflichtungen vorgenommen. Ein moderater Abschlag von ca. 30 % auf die Lücke ist vertretbar, da sich Lebenshaltungskosten im Invaliditätsfall teilweise reduzieren (z. B. Wegfall Pendelkosten, Berufskleidung). Angepasste Lücke: 850 EUR × 0,70 ≈ 595 EUR, gerundet auf 600 EUR/Monat.</t>
  </si>
  <si>
    <t>1. Gesetzliche ASVG-Invaliditätspension: Als Referenzwert wird eine monatliche Nettopension von 950 EUR angenommen. Dieser Wert basiert auf einer geschätzten Versicherungsdauer von ca. 15 Jahren bis zum Alter 35 und dem angegebenen Einkommensniveau; der genaue ASVG-Bescheid würde eine individuelle Kontoerstattung erfordern. 2. Auslöseschwelle der privaten Unfallversicherung: Leistungen werden ab einem Invaliditätsgrad von 50 % berücksichtigt, entsprechend dem österreichischen Marktstandard. 3. Kostenpauschalen Baustein 1: Wohnungsadaptierung 30.000 EUR, Hilfsmittel/Rehabilitation 15.000 EUR, Liquiditätspuffer 5.000 EUR — marktübliche Orientierungswerte für Österreich. 4. Abschlag auf Versorgungslücke (Baustein 2): 30 % Reduktion der Lücke wegen wegfallender berufsbedingter Ausgaben im Invaliditätsfall. 5. Keine Annahmen über Vermögen, Ersparnisse, bestehende Versicherungen oder Wohnsituation wurden getroffen, da diese im Kundenprofil nicht angegeben sind.</t>
  </si>
  <si>
    <t>{"baustein_1_einmalzahlung_eur": 50000, "baustein_2_unfallrente_monatlich_eur": 600, "beruecksichtigte_faktoren": ["Alter: 35 Jahre (lange Resterwerbsdauer bis zur Regelpension, ca. 30 Jahre)", "Monatliches Nettoeinkommen: 1.800 EUR", "Berufsgruppe: Bürotätigkeit (geringes Berufsrisiko, Berufsgruppe 1)", "Familienstand: ledig, keine Kinder, keine Unterhaltspflichten (kein erhöhter Absicherungsbedarf für Dritte)", "Gesetzliche Invaliditätspension nach ASVG als Grundleistung"], "berechnungslogik_baustein_1": "Baustein 1 deckt einmalige Kosten im Invaliditätsfall ab: Wohnungsadaptierung, Rehabilitationsmaßnahmen, Hilfsmittel (z. B. Rollstuhl, technische Ausstattung) sowie einen Liquiditätspuffer in der Übergangsphase. Als Referenzrahmen für eine behindertengerechte Wohnungsadaptierung in Österreich werden pauschal 25.000–40.000 EUR angesetzt; für Hilfsmittel und Rehabilitation weitere 10.000–15.000 EUR. Da der Kunde ledig und kinderlos ist und keine Unterhaltspflichten hat, ist kein erhöhter Kapitalbedarf für familiäre Absicherung anzusetzen. Andererseits besteht kein zweites Haushaltseinkommen als Puffer. Summe der Einzelpositionen: Wohnungsadaptierung 30.000 EUR + Hilfsmittel/Rehabilitation 15.000 EUR + Übergangs-/Liquiditätspuffer 5.000 EUR = 50.000 EUR.", "berechnungslogik_baustein_2": "Baustein 2 schließt die monatliche Versorgungslücke zwischen individuellem Bedarf und gesetzlicher Grundleistung. Ausgangspunkt: Nettoeinkommen 1.800 EUR/Monat. Gesetzliche ASVG-Invaliditätspension: Bei 35 Jahren und einer typischen Beitragszeit von ca. 15 Versicherungsjahren (Berufseinstieg mit ca. 20 Jahren) ergibt sich nach ASVG-Bemessungslogik eine Invaliditätspension von schätzungsweise 900–1.000 EUR netto/Monat (Annahme: ca. 50–55 % des Nettoeinkommens als gesetzliche Grundleistung, was dem typischen Ersatzgrad für diese Einkommens- und Beitragsklasse entspricht; Referenzwert: 950 EUR). Versorgungslücke: 1.800 EUR – 950 EUR = 850 EUR/Monat. Da der Kunde ledig und ohne Unterhaltspflichten ist, wird kein Aufschlag für familiäre Verpflichtungen vorgenommen. Ein moderater Abschlag von ca. 30 % auf die Lücke ist vertretbar, da sich Lebenshaltungskosten im Invaliditätsfall teilweise reduzieren (z. B. Wegfall Pendelkosten, Berufskleidung). Angepasste Lücke: 850 EUR × 0,70 ≈ 595 EUR, gerundet auf 600 EUR/Monat.", "getroffene_annahmen": "1. Gesetzliche ASVG-Invaliditätspension: Als Referenzwert wird eine monatliche Nettopension von 950 EUR angenommen. Dieser Wert basiert auf einer geschätzten Versicherungsdauer von ca. 15 Jahren bis zum Alter 35 und dem angegebenen Einkommensniveau; der genaue ASVG-Bescheid würde eine individuelle Kontoerstattung erfordern. 2. Auslöseschwelle der privaten Unfallversicherung: Leistungen werden ab einem Invaliditätsgrad von 50 % berücksichtigt, entsprechend dem österreichischen Marktstandard. 3. Kostenpauschalen Baustein 1: Wohnungsadaptierung 30.000 EUR, Hilfsmittel/Rehabilitation 15.000 EUR, Liquiditätspuffer 5.000 EUR — marktübliche Orientierungswerte für Österreich. 4. Abschlag auf Versorgungslücke (Baustein 2): 30 % Reduktion der Lücke wegen wegfallender berufsbedingter Ausgaben im Invaliditätsfall. 5. Keine Annahmen über Vermögen, Ersparnisse, bestehende Versicherungen oder Wohnsituation wurden getroffen, da diese im Kundenprofil nicht angegeben sind."}</t>
  </si>
  <si>
    <t>V3</t>
  </si>
  <si>
    <t>["Alter 35 Jahre (lange Resterwerbsdauer von ca. 30 Jahren bis Regelpensionsalter 65)", "Nettoeinkommen 1.800 €/Monat", "Bürotätigkeit (geringes Berufsrisiko, kein erhöhter Gefährdungszuschlag erforderlich)", "Ledig, keine Kinder (keine Unterhaltspflichten, kein erhöhter Absicherungsbedarf für Dritte)", "Gesetzliche ASVG-Invaliditätspension als Grundleistung"]</t>
  </si>
  <si>
    <t>Baustein 1 deckt einmalige Kosten im Invaliditätsfall ab: Wohnungsadaptierung (Referenzwert Österreich: ca. 20.000–30.000 €), Rehabilitationsmaßnahmen und Hilfsmittel (Rollstuhl, Prothesen, technische Hilfsmittel: ca. 10.000–15.000 €), sowie einen Puffer für sonstige Umstellungskosten (Fahrzeugumbau, Umschulungskosten etc.: ca. 10.000 €). Da der Kunde ledig ist und keine Unterhaltspflichten hat, ist kein erhöhter Kapitalbedarf für Dritte anzusetzen. Bürotätigkeit bedeutet kein erhöhtes Berufsrisiko. Ansatz: 30.000 € (Wohnung/Umbau) + 12.000 € (Hilfsmittel/Reha) + 8.000 € (sonstige Umstellungskosten) = 50.000 € Einmalleistung.</t>
  </si>
  <si>
    <t>Baustein 2 schließt die monatliche Versorgungslücke zwischen individuellem Bedarf und gesetzlicher Grundleistung. Nettoeinkommen: 1.800 €/Monat. Referenzwert ASVG-Invaliditätspension bei 35-jährigem Versicherten mit durchschnittlicher Beitragsgrundlage: ca. 1.200 €/Monat netto (Schätzwert auf Basis der Mindestpension 2024 von ca. 1.217 € sowie typischer Pensionskonten-Hochrechnung bei mittlerem Einkommen; da keine genauen Versicherungszeiten bekannt, wird ein konservativer Wert von 1.200 € angesetzt). Versorgungslücke: 1.800 € – 1.200 € = 600 €/Monat. Da keine Unterhaltspflichten bestehen und kein erhöhter Mehrbedarf für Dritte vorliegt, wird die Lücke 1:1 als Rentenempfehlung übernommen. Empfehlung: 600 €/Monat.</t>
  </si>
  <si>
    <t>1) ASVG-Invaliditätspension: Mangels konkreter Versicherungszeiten und Beitragsgrundlagen wird ein Netto-Referenzwert von 1.200 €/Monat angesetzt. Dieser orientiert sich an der österreichischen Ausgleichszulagenrichtsatz-Mindestpension 2024 (ca. 1.217 €/Monat) als untere Grenze sowie an einer typischen Pensionskonto-Hochrechnung für einen 35-jährigen Vollzeitbeschäftigten mit 1.800 € Nettoeinkommen. 2) Pensionsantrittsalter: 65 Jahre (gesetzliches Regelpensionsalter). 3) Baustein 1 – Kostenpauschalen für Wohnungsadaptierung, Hilfsmittel und Rehabilitation basieren auf österreichischen Marktrichtwerten (keine individuellen Angebote vorliegend). 4) Es wird angenommen, dass kein weiteres Vermögen, keine bestehenden Privatversicherungen und keine sonstigen Einkommensquellen vorhanden sind, da das Profil dazu keine Angaben enthält.</t>
  </si>
  <si>
    <t>{"baustein_1_einmalzahlung_eur": 50000, "baustein_2_unfallrente_monatlich_eur": 600, "beruecksichtigte_faktoren": ["Alter 35 Jahre (lange Resterwerbsdauer von ca. 30 Jahren bis Regelpensionsalter 65)", "Nettoeinkommen 1.800 €/Monat", "Bürotätigkeit (geringes Berufsrisiko, kein erhöhter Gefährdungszuschlag erforderlich)", "Ledig, keine Kinder (keine Unterhaltspflichten, kein erhöhter Absicherungsbedarf für Dritte)", "Gesetzliche ASVG-Invaliditätspension als Grundleistung"], "berechnungslogik_baustein_1": "Baustein 1 deckt einmalige Kosten im Invaliditätsfall ab: Wohnungsadaptierung (Referenzwert Österreich: ca. 20.000–30.000 €), Rehabilitationsmaßnahmen und Hilfsmittel (Rollstuhl, Prothesen, technische Hilfsmittel: ca. 10.000–15.000 €), sowie einen Puffer für sonstige Umstellungskosten (Fahrzeugumbau, Umschulungskosten etc.: ca. 10.000 €). Da der Kunde ledig ist und keine Unterhaltspflichten hat, ist kein erhöhter Kapitalbedarf für Dritte anzusetzen. Bürotätigkeit bedeutet kein erhöhtes Berufsrisiko. Ansatz: 30.000 € (Wohnung/Umbau) + 12.000 € (Hilfsmittel/Reha) + 8.000 € (sonstige Umstellungskosten) = 50.000 € Einmalleistung.", "berechnungslogik_baustein_2": "Baustein 2 schließt die monatliche Versorgungslücke zwischen individuellem Bedarf und gesetzlicher Grundleistung. Nettoeinkommen: 1.800 €/Monat. Referenzwert ASVG-Invaliditätspension bei 35-jährigem Versicherten mit durchschnittlicher Beitragsgrundlage: ca. 1.200 €/Monat netto (Schätzwert auf Basis der Mindestpension 2024 von ca. 1.217 € sowie typischer Pensionskonten-Hochrechnung bei mittlerem Einkommen; da keine genauen Versicherungszeiten bekannt, wird ein konservativer Wert von 1.200 € angesetzt). Versorgungslücke: 1.800 € – 1.200 € = 600 €/Monat. Da keine Unterhaltspflichten bestehen und kein erhöhter Mehrbedarf für Dritte vorliegt, wird die Lücke 1:1 als Rentenempfehlung übernommen. Empfehlung: 600 €/Monat.", "getroffene_annahmen": "1) ASVG-Invaliditätspension: Mangels konkreter Versicherungszeiten und Beitragsgrundlagen wird ein Netto-Referenzwert von 1.200 €/Monat angesetzt. Dieser orientiert sich an der österreichischen Ausgleichszulagenrichtsatz-Mindestpension 2024 (ca. 1.217 €/Monat) als untere Grenze sowie an einer typischen Pensionskonto-Hochrechnung für einen 35-jährigen Vollzeitbeschäftigten mit 1.800 € Nettoeinkommen. 2) Pensionsantrittsalter: 65 Jahre (gesetzliches Regelpensionsalter). 3) Baustein 1 – Kostenpauschalen für Wohnungsadaptierung, Hilfsmittel und Rehabilitation basieren auf österreichischen Marktrichtwerten (keine individuellen Angebote vorliegend). 4) Es wird angenommen, dass kein weiteres Vermögen, keine bestehenden Privatversicherungen und keine sonstigen Einkommensquellen vorhanden sind, da das Profil dazu keine Angaben enthält."}</t>
  </si>
  <si>
    <t>P02</t>
  </si>
  <si>
    <t>["Alter 35 Jahre (lange Resterwerbsdauer von ca. 30 Jahren bis Regelpensionsalter 65)", "Nettoeinkommen 1.800 €/Monat", "Bürotätigkeit (geringes Berufsrisiko, keine erhöhte Gefährdung)", "Verheiratet mit 3 Kindern (hohe Unterhaltsverpflichtungen, erhöhter Absicherungsbedarf)"]</t>
  </si>
  <si>
    <t>Einmalige Invaliditätsleistung zur Deckung nicht-wiederkehrender Kosten im Invaliditätsfall. Berücksichtigte Kostenpositionen: (1) Wohnungsadaptierung (barrierefreier Umbau): Referenzwert 40.000 €, (2) Rehabilitationsmaßnahmen und Hilfsmittel (Rollstuhl, Prothesen, Therapien): Referenzwert 25.000 €, (3) Einmaliger Einrichtungs- und Ausstattungsbedarf (Pflegebett, Hebevorrichtungen etc.): Referenzwert 15.000 €. Summe der Einzelpositionen: 40.000 + 25.000 + 15.000 = 80.000 €. Da der Kunde 3 Kinder hat, ist ein erhöhter Platzbedarf bei Wohnungsadaptierungen realistisch, weshalb der Referenzwert für Umbaumaßnahmen am oberen Ende angesetzt wird. Berufsrisiko Bürotätigkeit rechtfertigt keine Reduktion, da die Einmalkosten im Invaliditätsfall unabhängig vom Unfallhergang anfallen.</t>
  </si>
  <si>
    <t>Monatliche Unfallrente zum dauerhaften Ausgleich der Versorgungslücke bei dauernder Invalidität (ab 50 % Invaliditätsgrad). Nettoeinkommen: 1.800 €/Monat. Gesetzliche ASVG-Invaliditätspension: Referenzwert für einen 35-jährigen Durchschnittsverdiener mit einem Nettoeinkommen von ca. 1.800 €/Monat: ca. 1.100 €/Monat netto (Schätzung auf Basis der ASVG-Bemessungsgrundlage; bei 35 Jahren sind erst ca. 17 Versicherungsjahre erworben, was die Pension deutlich unter das Aktivniveau drückt). Versorgungslücke gesamt: 1.800 € – 1.100 € = 700 €/Monat. Dieser Betrag stellt die monatliche Differenz zwischen dem bisherigen Lebensstandard und der zu erwartenden gesetzlichen Grundleistung dar. Aufgrund der 3 Kinder und der Unterhaltspflichten ist eine vollständige Schließung dieser Lücke geboten, weshalb keine Reduktion vorgenommen wird. Berufsrisiko Bürotätigkeit beeinflusst die Rentenhöhe nicht, da die Rente die einkommensbasierte Lücke schließt, nicht das Risikoprofil abbildet.</t>
  </si>
  <si>
    <t>1. Gesetzliche ASVG-Invaliditätspension: Angenommen wird eine Nettopension von ca. 1.100 €/Monat. Dieser Wert basiert auf der typischen ASVG-Bemessungslogik für einen 35-jährigen Versicherten mit ca. 17 erworbenen Versicherungsjahren (Eintritt ins Erwerbsleben mit ca. 18 Jahren) und einem Nettoeinkommen von 1.800 €/Monat. Die tatsächliche Pensionshöhe hängt von der individuellen Beitragsgeschichte ab und kann abweichen. 2. Regelpensionsalter: 65 Jahre, daraus ergibt sich eine Resterwerbsdauer von 30 Jahren. 3. Einmalige Kosten im Invaliditätsfall: Die Referenzwerte für Wohnungsadaptierung, Rehabilitation und Hilfsmittel basieren auf österreichischen Marktrichtwerten für vollständige Invalidität (100 % Invaliditätsgrad als Bemessungsbasis für die Versicherungssumme). 4. Keine Inflation oder Dynamisierung eingerechnet, da keine Angaben zur gewünschten Vertragsdynamik vorliegen. 5. Es wird ein Invaliditätsgrad von 100 % als Worst-Case-Szenario für die Bemessung der Versicherungssumme herangezogen, da die Summe präventiv und für den schlimmsten Fall festzulegen ist.</t>
  </si>
  <si>
    <t>{"baustein_1_einmalzahlung_eur": 80000, "baustein_2_unfallrente_monatlich_eur": 700, "beruecksichtigte_faktoren": ["Alter 35 Jahre (lange Resterwerbsdauer von ca. 30 Jahren bis Regelpensionsalter 65)", "Nettoeinkommen 1.800 €/Monat", "Bürotätigkeit (geringes Berufsrisiko, keine erhöhte Gefährdung)", "Verheiratet mit 3 Kindern (hohe Unterhaltsverpflichtungen, erhöhter Absicherungsbedarf)"], "berechnungslogik_baustein_1": "Einmalige Invaliditätsleistung zur Deckung nicht-wiederkehrender Kosten im Invaliditätsfall. Berücksichtigte Kostenpositionen: (1) Wohnungsadaptierung (barrierefreier Umbau): Referenzwert 40.000 €, (2) Rehabilitationsmaßnahmen und Hilfsmittel (Rollstuhl, Prothesen, Therapien): Referenzwert 25.000 €, (3) Einmaliger Einrichtungs- und Ausstattungsbedarf (Pflegebett, Hebevorrichtungen etc.): Referenzwert 15.000 €. Summe der Einzelpositionen: 40.000 + 25.000 + 15.000 = 80.000 €. Da der Kunde 3 Kinder hat, ist ein erhöhter Platzbedarf bei Wohnungsadaptierungen realistisch, weshalb der Referenzwert für Umbaumaßnahmen am oberen Ende angesetzt wird. Berufsrisiko Bürotätigkeit rechtfertigt keine Reduktion, da die Einmalkosten im Invaliditätsfall unabhängig vom Unfallhergang anfallen.", "berechnungslogik_baustein_2": "Monatliche Unfallrente zum dauerhaften Ausgleich der Versorgungslücke bei dauernder Invalidität (ab 50 % Invaliditätsgrad). Nettoeinkommen: 1.800 €/Monat. Gesetzliche ASVG-Invaliditätspension: Referenzwert für einen 35-jährigen Durchschnittsverdiener mit einem Nettoeinkommen von ca. 1.800 €/Monat: ca. 1.100 €/Monat netto (Schätzung auf Basis der ASVG-Bemessungsgrundlage; bei 35 Jahren sind erst ca. 17 Versicherungsjahre erworben, was die Pension deutlich unter das Aktivniveau drückt). Versorgungslücke gesamt: 1.800 € – 1.100 € = 700 €/Monat. Dieser Betrag stellt die monatliche Differenz zwischen dem bisherigen Lebensstandard und der zu erwartenden gesetzlichen Grundleistung dar. Aufgrund der 3 Kinder und der Unterhaltspflichten ist eine vollständige Schließung dieser Lücke geboten, weshalb keine Reduktion vorgenommen wird. Berufsrisiko Bürotätigkeit beeinflusst die Rentenhöhe nicht, da die Rente die einkommensbasierte Lücke schließt, nicht das Risikoprofil abbildet.", "getroffene_annahmen": "1. Gesetzliche ASVG-Invaliditätspension: Angenommen wird eine Nettopension von ca. 1.100 €/Monat. Dieser Wert basiert auf der typischen ASVG-Bemessungslogik für einen 35-jährigen Versicherten mit ca. 17 erworbenen Versicherungsjahren (Eintritt ins Erwerbsleben mit ca. 18 Jahren) und einem Nettoeinkommen von 1.800 €/Monat. Die tatsächliche Pensionshöhe hängt von der individuellen Beitragsgeschichte ab und kann abweichen. 2. Regelpensionsalter: 65 Jahre, daraus ergibt sich eine Resterwerbsdauer von 30 Jahren. 3. Einmalige Kosten im Invaliditätsfall: Die Referenzwerte für Wohnungsadaptierung, Rehabilitation und Hilfsmittel basieren auf österreichischen Marktrichtwerten für vollständige Invalidität (100 % Invaliditätsgrad als Bemessungsbasis für die Versicherungssumme). 4. Keine Inflation oder Dynamisierung eingerechnet, da keine Angaben zur gewünschten Vertragsdynamik vorliegen. 5. Es wird ein Invaliditätsgrad von 100 % als Worst-Case-Szenario für die Bemessung der Versicherungssumme herangezogen, da die Summe präventiv und für den schlimmsten Fall festzulegen ist."}</t>
  </si>
  <si>
    <t>["Alter 35 Jahre (lange verbleibende Erwerbsbiografie bis zur Regelpension, ca. 30 Jahre)", "Monatliches Nettoeinkommen 1.800 EUR", "Bürotätigkeit (geringes Berufsrisiko, aber kein Ausschluss von Freizeitunfällen)", "Verheiratet mit drei Kindern (erhöhter Versorgungsbedarf, bestehende Unterhaltspflichten)", "Gesetzliche ASVG-Invaliditätspension als Grundleistung", "Private Unfallversicherung greift ab 50 % Invaliditätsgrad"]</t>
  </si>
  <si>
    <t>Baustein 1 deckt einmalige Kosten im Invaliditätsfall ab: Wohnungsadaptierung, Rehabilitationsmaßnahmen, Anschaffung von Hilfsmitteln sowie einen Liquiditätspuffer in der Übergangsphase. Referenzwerte für barrierefreie Wohnungsadaptierung in Österreich: 30.000–50.000 EUR (z. B. Umbau Bad, Türverbreiterung, Rampen, Aufzug). Hilfsmittel (Rollstuhl, Prothesen, technische Ausstattung): ca. 10.000–20.000 EUR. Rehabilitationskosten (stationär/ambulant, nicht vollständig durch gesetzliche KV gedeckt): ca. 10.000–15.000 EUR. Übergangs-Liquiditätspuffer (3 Monate Nettoeinkommen × 1.800 EUR): 5.400 EUR. Aufgrund der Unterhaltspflichten gegenüber drei Kindern und der Notwendigkeit, das Familienheim behindertengerecht anzupassen, wird der obere Bereich der Adaptierungskosten angesetzt. Summe der Einzelpositionen: 50.000 (Wohnung) + 15.000 (Hilfsmittel) + 10.000 (Reha) + 5.000 (Puffer) = 80.000 EUR. Empfehlung: 80.000 EUR.</t>
  </si>
  <si>
    <t>Baustein 2 schließt die monatliche Versorgungslücke zwischen individuellem Bedarf und gesetzlicher Grundleistung. Nettoeinkommen des Kunden: 1.800 EUR/Monat. Gesetzliche ASVG-Invaliditätspension (Referenzwert): Bei einem Alter von 35 Jahren und einer noch kurzen Beitragszeit ist die Bemessungsgrundlage niedrig. Annahme auf Basis ASVG-Durchschnittswerte für jüngere Versicherte mit mittlerem Einkommen: ca. 900–1.000 EUR netto/Monat (inkl. Ausgleichszulage, sofern anwendbar). Es wird ein Referenzwert von 1.000 EUR netto/Monat angesetzt (konservative Obergrenze der gesetzlichen Leistung für dieses Profil). Versorgungslücke: 1.800 EUR − 1.000 EUR = 800 EUR/Monat. Aufgrund der Unterhaltspflichten gegenüber drei Kindern besteht ein erhöhter Absicherungsbedarf; die volle Lücke sollte geschlossen werden. Da die private Unfallrente typischerweise ab 50 % Invalidität greift und bei Vollinvalidität die gesamte Lücke abdecken soll, wird die Versorgungslücke von 800 EUR als Zielgröße herangezogen. Abzüglich eines kleinen Abschlags für mögliche Teilkompensation durch Pflegegeld (Stufe 1–2, ca. 100 EUR/Monat im Durchschnitt) ergibt sich ein Nettobedarf von 700 EUR/Monat. Empfehlung: 700 EUR/Monat.</t>
  </si>
  <si>
    <t>1. Gesetzliche ASVG-Invaliditätspension: Angesetzt mit 1.000 EUR netto/Monat als konservative Obergrenze für einen 35-jährigen Versicherten mit mittlerem Einkommen und noch kurzer Beitragszeit. Dieser Wert basiert auf dem ASVG-Berechnungsschema (Bemessungsgrundlage aus Versicherungszeiten, Steigerungsbetrag), ist jedoch ohne individuelle Kontoabfrage beim Hauptverband eine Schätzgröße. 2. Pflegegeld: Pauschal 100 EUR/Monat als Teilkompensation angenommen (Durchschnitt Pflegegeldstufe 1–2 nach Bundespflegegeldgesetz), da keine Angaben zur Pflegebedürftigkeit vorliegen. 3. Wohnverhältnisse: Es wird angenommen, dass der Kunde in einer Eigentumswohnung oder einem Eigenheim lebt, das im Invaliditätsfall adaptiert werden müsste. Mietverhältnis wurde nicht ausgeschlossen, Adaptierungskosten können jedoch auch bei Mietobjekten anfallen. 4. Invaliditätsgrad: Die Berechnung orientiert sich am Szenario vollständiger dauernder Invalidität (100 %), da dies den maximalen Absicherungsbedarf darstellt. 5. Keine weiteren Einkommensquellen oder bestehende private Vorsorgen wurden im Profil genannt und daher nicht berücksichtigt.</t>
  </si>
  <si>
    <t>{"baustein_1_einmalzahlung_eur": 80000, "baustein_2_unfallrente_monatlich_eur": 700, "beruecksichtigte_faktoren": ["Alter 35 Jahre (lange verbleibende Erwerbsbiografie bis zur Regelpension, ca. 30 Jahre)", "Monatliches Nettoeinkommen 1.800 EUR", "Bürotätigkeit (geringes Berufsrisiko, aber kein Ausschluss von Freizeitunfällen)", "Verheiratet mit drei Kindern (erhöhter Versorgungsbedarf, bestehende Unterhaltspflichten)", "Gesetzliche ASVG-Invaliditätspension als Grundleistung", "Private Unfallversicherung greift ab 50 % Invaliditätsgrad"], "berechnungslogik_baustein_1": "Baustein 1 deckt einmalige Kosten im Invaliditätsfall ab: Wohnungsadaptierung, Rehabilitationsmaßnahmen, Anschaffung von Hilfsmitteln sowie einen Liquiditätspuffer in der Übergangsphase. Referenzwerte für barrierefreie Wohnungsadaptierung in Österreich: 30.000–50.000 EUR (z. B. Umbau Bad, Türverbreiterung, Rampen, Aufzug). Hilfsmittel (Rollstuhl, Prothesen, technische Ausstattung): ca. 10.000–20.000 EUR. Rehabilitationskosten (stationär/ambulant, nicht vollständig durch gesetzliche KV gedeckt): ca. 10.000–15.000 EUR. Übergangs-Liquiditätspuffer (3 Monate Nettoeinkommen × 1.800 EUR): 5.400 EUR. Aufgrund der Unterhaltspflichten gegenüber drei Kindern und der Notwendigkeit, das Familienheim behindertengerecht anzupassen, wird der obere Bereich der Adaptierungskosten angesetzt. Summe der Einzelpositionen: 50.000 (Wohnung) + 15.000 (Hilfsmittel) + 10.000 (Reha) + 5.000 (Puffer) = 80.000 EUR. Empfehlung: 80.000 EUR.", "berechnungslogik_baustein_2": "Baustein 2 schließt die monatliche Versorgungslücke zwischen individuellem Bedarf und gesetzlicher Grundleistung. Nettoeinkommen des Kunden: 1.800 EUR/Monat. Gesetzliche ASVG-Invaliditätspension (Referenzwert): Bei einem Alter von 35 Jahren und einer noch kurzen Beitragszeit ist die Bemessungsgrundlage niedrig. Annahme auf Basis ASVG-Durchschnittswerte für jüngere Versicherte mit mittlerem Einkommen: ca. 900–1.000 EUR netto/Monat (inkl. Ausgleichszulage, sofern anwendbar). Es wird ein Referenzwert von 1.000 EUR netto/Monat angesetzt (konservative Obergrenze der gesetzlichen Leistung für dieses Profil). Versorgungslücke: 1.800 EUR − 1.000 EUR = 800 EUR/Monat. Aufgrund der Unterhaltspflichten gegenüber drei Kindern besteht ein erhöhter Absicherungsbedarf; die volle Lücke sollte geschlossen werden. Da die private Unfallrente typischerweise ab 50 % Invalidität greift und bei Vollinvalidität die gesamte Lücke abdecken soll, wird die Versorgungslücke von 800 EUR als Zielgröße herangezogen. Abzüglich eines kleinen Abschlags für mögliche Teilkompensation durch Pflegegeld (Stufe 1–2, ca. 100 EUR/Monat im Durchschnitt) ergibt sich ein Nettobedarf von 700 EUR/Monat. Empfehlung: 700 EUR/Monat.", "getroffene_annahmen": "1. Gesetzliche ASVG-Invaliditätspension: Angesetzt mit 1.000 EUR netto/Monat als konservative Obergrenze für einen 35-jährigen Versicherten mit mittlerem Einkommen und noch kurzer Beitragszeit. Dieser Wert basiert auf dem ASVG-Berechnungsschema (Bemessungsgrundlage aus Versicherungszeiten, Steigerungsbetrag), ist jedoch ohne individuelle Kontoabfrage beim Hauptverband eine Schätzgröße. 2. Pflegegeld: Pauschal 100 EUR/Monat als Teilkompensation angenommen (Durchschnitt Pflegegeldstufe 1–2 nach Bundespflegegeldgesetz), da keine Angaben zur Pflegebedürftigkeit vorliegen. 3. Wohnverhältnisse: Es wird angenommen, dass der Kunde in einer Eigentumswohnung oder einem Eigenheim lebt, das im Invaliditätsfall adaptiert werden müsste. Mietverhältnis wurde nicht ausgeschlossen, Adaptierungskosten können jedoch auch bei Mietobjekten anfallen. 4. Invaliditätsgrad: Die Berechnung orientiert sich am Szenario vollständiger dauernder Invalidität (100 %), da dies den maximalen Absicherungsbedarf darstellt. 5. Keine weiteren Einkommensquellen oder bestehende private Vorsorgen wurden im Profil genannt und daher nicht berücksichtigt."}</t>
  </si>
  <si>
    <t>["Alter 35 Jahre (lange verbleibende Erwerbsdauer bis zur Pension, ca. 30 Jahre)", "Nettoeinkommen 1.800 €/Monat", "Bürotätigkeit (geringes Berufsrisiko, aber erhöhtes Freizeitunfallrisiko relevant)", "Verheiratet mit 3 Kindern (hohe Unterhaltsverpflichtungen, erhöhter Absicherungsbedarf)"]</t>
  </si>
  <si>
    <t>Einmalige Kosten im Invaliditätsfall umfassen typischerweise: Wohnungsadaptierung (barrierefreier Umbau): ca. 40.000 €, Hilfsmittel/Rollstuhl/Prothesen: ca. 15.000 €, Rehabilitationsmaßnahmen (nicht vollständig durch gesetzliche KV gedeckt): ca. 10.000 €, Sonderbedarf durch 3 Kinder (Betreuungsorganisation, Umstrukturierung Haushalt): ca. 15.000 €. Summe: 80.000 €. Da der Kunde mit 35 Jahren und 3 Kindern einen überdurchschnittlichen einmaligen Anpassungsbedarf hat, wird der volle Betrag von 80.000 € empfohlen.</t>
  </si>
  <si>
    <t>Nettoeinkommen: 1.800 €/Monat. Gesetzliche ASVG-Invaliditätspension (Referenzwert bei 35-jährigem mit durchschnittlicher Beitragsgrundlage, Schätzung auf Basis ASVG-Bemessungsgrundlagen): ca. 900–1.000 €/Monat; angesetzt werden 950 € als mittlerer Schätzwert. Versorgungslücke: 1.800 € – 950 € = 850 €/Monat. Aufgrund der 3 Kinder und der damit verbundenen erhöhten laufenden Unterhaltsverpflichtungen ist eine vollständige Schließung der Versorgungslücke anzustreben. Da private Unfallrente ab 50 % Invaliditätsgrad greift und eine Vollinvalidität den Maximalbedarf darstellt, wird die Rente auf 700 € festgesetzt. Dieser Wert berücksichtigt, dass bei Teilinvalidität (50–99 %) die gesetzliche Pension anteilig höher ausfallen kann und die private Rente entsprechend geringer ausfällt; bei Vollinvalidität verbleibt eine Restlücke von 150 €, die durch den Familienverband (Einkommen des Partners) als zumutbar gilt, da über diesen keine Angaben vorliegen und keine Annahmen getroffen werden. Empfehlung: 700 €/Monat.</t>
  </si>
  <si>
    <t>1) Gesetzliche ASVG-Invaliditätspension: Angesetzt mit 950 €/Monat netto als Schätzwert für einen 35-jährigen Vollzeitbeschäftigten mit einem Nettoeinkommen von 1.800 €/Monat und einer Beitragszeit von ca. 17 Jahren (Berufseinstieg mit ~18 Jahren). Dieser Wert basiert auf der ASVG-Bemessungslogik (Durchschnittslohn × Steigerungsbetrag × Versicherungsjahre) und ist als konservativer Mittelwert zu verstehen. 2) Erwerbsdauer bis zur Regelpension: 30 Jahre (Pensionsantritt mit 65 Jahren). 3) Keine Angaben zum Einkommen des Ehepartners vorhanden – es werden keine Annahmen darüber getroffen. 4) Invaliditätsgrad für die Bedarfsermittlung: Vollinvalidität (100 %) als Worst-Case-Szenario. 5) Private Unfallrente greift ab 50 % Invaliditätsgrad gemäß üblicher österreichischer Vertragspraxis.</t>
  </si>
  <si>
    <t>{"baustein_1_einmalzahlung_eur": 80000, "baustein_2_unfallrente_monatlich_eur": 700, "beruecksichtigte_faktoren": ["Alter 35 Jahre (lange verbleibende Erwerbsdauer bis zur Pension, ca. 30 Jahre)", "Nettoeinkommen 1.800 €/Monat", "Bürotätigkeit (geringes Berufsrisiko, aber erhöhtes Freizeitunfallrisiko relevant)", "Verheiratet mit 3 Kindern (hohe Unterhaltsverpflichtungen, erhöhter Absicherungsbedarf)"], "berechnungslogik_baustein_1": "Einmalige Kosten im Invaliditätsfall umfassen typischerweise: Wohnungsadaptierung (barrierefreier Umbau): ca. 40.000 €, Hilfsmittel/Rollstuhl/Prothesen: ca. 15.000 €, Rehabilitationsmaßnahmen (nicht vollständig durch gesetzliche KV gedeckt): ca. 10.000 €, Sonderbedarf durch 3 Kinder (Betreuungsorganisation, Umstrukturierung Haushalt): ca. 15.000 €. Summe: 80.000 €. Da der Kunde mit 35 Jahren und 3 Kindern einen überdurchschnittlichen einmaligen Anpassungsbedarf hat, wird der volle Betrag von 80.000 € empfohlen.", "berechnungslogik_baustein_2": "Nettoeinkommen: 1.800 €/Monat. Gesetzliche ASVG-Invaliditätspension (Referenzwert bei 35-jährigem mit durchschnittlicher Beitragsgrundlage, Schätzung auf Basis ASVG-Bemessungsgrundlagen): ca. 900–1.000 €/Monat; angesetzt werden 950 € als mittlerer Schätzwert. Versorgungslücke: 1.800 € – 950 € = 850 €/Monat. Aufgrund der 3 Kinder und der damit verbundenen erhöhten laufenden Unterhaltsverpflichtungen ist eine vollständige Schließung der Versorgungslücke anzustreben. Da private Unfallrente ab 50 % Invaliditätsgrad greift und eine Vollinvalidität den Maximalbedarf darstellt, wird die Rente auf 700 € festgesetzt. Dieser Wert berücksichtigt, dass bei Teilinvalidität (50–99 %) die gesetzliche Pension anteilig höher ausfallen kann und die private Rente entsprechend geringer ausfällt; bei Vollinvalidität verbleibt eine Restlücke von 150 €, die durch den Familienverband (Einkommen des Partners) als zumutbar gilt, da über diesen keine Angaben vorliegen und keine Annahmen getroffen werden. Empfehlung: 700 €/Monat.", "getroffene_annahmen": "1) Gesetzliche ASVG-Invaliditätspension: Angesetzt mit 950 €/Monat netto als Schätzwert für einen 35-jährigen Vollzeitbeschäftigten mit einem Nettoeinkommen von 1.800 €/Monat und einer Beitragszeit von ca. 17 Jahren (Berufseinstieg mit ~18 Jahren). Dieser Wert basiert auf der ASVG-Bemessungslogik (Durchschnittslohn × Steigerungsbetrag × Versicherungsjahre) und ist als konservativer Mittelwert zu verstehen. 2) Erwerbsdauer bis zur Regelpension: 30 Jahre (Pensionsantritt mit 65 Jahren). 3) Keine Angaben zum Einkommen des Ehepartners vorhanden – es werden keine Annahmen darüber getroffen. 4) Invaliditätsgrad für die Bedarfsermittlung: Vollinvalidität (100 %) als Worst-Case-Szenario. 5) Private Unfallrente greift ab 50 % Invaliditätsgrad gemäß üblicher österreichischer Vertragspraxis."}</t>
  </si>
  <si>
    <t>P03</t>
  </si>
  <si>
    <t>["Alter 35 Jahre (lange verbleibende Erwerbsdauer bis Regelpensionsalter 65 = 30 Jahre)", "Nettoeinkommen 1.800 €/Monat", "Berufsrisiko Handwerker (erhöhtes Unfallrisiko, körperliche Tätigkeit, bei Invalidität vollständiger Berufsausfall wahrscheinlich)", "Ledig, keine Kinder (kein Mehrbedarf durch Unterhaltspflichten, aber auch kein zweites Haushaltseinkommen als Puffer)"]</t>
  </si>
  <si>
    <t>Einmalige Kosten bei dauernder Invalidität umfassen typischerweise: Wohnungsadaptierung (barrierefrei), Anschaffung von Hilfsmitteln (Rollstuhl, Prothesen etc.) sowie Rehabilitationskosten. Als Referenzrahmen für eine vollständige Wohnungsadaptierung in Österreich werden 40.000–60.000 € angesetzt; Hilfsmittel und Rehabilitation werden mit weiteren 20.000–30.000 € veranschlagt. Da der Kunde als Handwerker ein erhöhtes Risiko schwerer körperlicher Unfallfolgen trägt und als Einzelperson ohne Haushaltspuffer auf vollständige Eigenversorgung angewiesen ist, wird der obere Bereich des Rahmens gewählt. Annahme: Gesamtbedarf einmalige Kosten = 50.000 € (Adaptierung) + 30.000 € (Hilfsmittel/Reha) = 80.000 €.</t>
  </si>
  <si>
    <t>Nettoeinkommen: 1.800 €/Monat. Gesetzliche ASVG-Invaliditätspension: Bei 35-jährigem Handwerker mit typischer Beitragshistorie wird die Invaliditätspension auf ca. 1.100 €/Monat geschätzt (Referenzwert: Durchschnittliche ASVG-Invaliditätspension Österreich 2023 ca. 1.050–1.150 €/Monat brutto; nach Abzug Krankenversicherungsbeitrag netto ca. 1.000–1.050 €). Annahme: Gesetzliche Nettopension = 1.050 €/Monat. Versorgungslücke = 1.800 € − 1.050 € = 750 €/Monat. Da der Kunde ledig und ohne Unterhaltspflichten ist, wird ein leichter Abschlag von 50 € vorgenommen, da der Haushaltsbedarf im Vergleich zu einer Familie geringfügig niedriger ist. Empfohlene monatliche Unfallrente = 750 € − 50 € = 700 €/Monat.</t>
  </si>
  <si>
    <t>1) Gesetzliche ASVG-Invaliditätspension netto: 1.050 €/Monat (Referenz: österreichischer Durchschnittswert 2023 für Invaliditätspensionen, bereinigt um KV-Beitrag). 2) Rentenbedarf orientiert sich am vollen Nettoeinkommensersatz (keine Sparquote oder sonstige Abzüge mangels Angaben im Profil). 3) Einmalkosten-Referenzwerte basieren auf österreichischen Marktrichtwerten für barrierefreie Wohnungsadaptierung und Hilfsmittelversorgung. 4) Berufsrisiko Handwerker wird als erhöhtes Risiko für schwere Invaliditätsfolgen gewertet, was den oberen Ansatz bei Baustein 1 rechtfertigt. 5) Keine Annahmen zu Vermögen, Ersparnissen oder sonstigen Einkommensquellen, da im Profil nicht angegeben.</t>
  </si>
  <si>
    <t>{"baustein_1_einmalzahlung_eur": 80000, "baustein_2_unfallrente_monatlich_eur": 700, "beruecksichtigte_faktoren": ["Alter 35 Jahre (lange verbleibende Erwerbsdauer bis Regelpensionsalter 65 = 30 Jahre)", "Nettoeinkommen 1.800 €/Monat", "Berufsrisiko Handwerker (erhöhtes Unfallrisiko, körperliche Tätigkeit, bei Invalidität vollständiger Berufsausfall wahrscheinlich)", "Ledig, keine Kinder (kein Mehrbedarf durch Unterhaltspflichten, aber auch kein zweites Haushaltseinkommen als Puffer)"], "berechnungslogik_baustein_1": "Einmalige Kosten bei dauernder Invalidität umfassen typischerweise: Wohnungsadaptierung (barrierefrei), Anschaffung von Hilfsmitteln (Rollstuhl, Prothesen etc.) sowie Rehabilitationskosten. Als Referenzrahmen für eine vollständige Wohnungsadaptierung in Österreich werden 40.000–60.000 € angesetzt; Hilfsmittel und Rehabilitation werden mit weiteren 20.000–30.000 € veranschlagt. Da der Kunde als Handwerker ein erhöhtes Risiko schwerer körperlicher Unfallfolgen trägt und als Einzelperson ohne Haushaltspuffer auf vollständige Eigenversorgung angewiesen ist, wird der obere Bereich des Rahmens gewählt. Annahme: Gesamtbedarf einmalige Kosten = 50.000 € (Adaptierung) + 30.000 € (Hilfsmittel/Reha) = 80.000 €.", "berechnungslogik_baustein_2": "Nettoeinkommen: 1.800 €/Monat. Gesetzliche ASVG-Invaliditätspension: Bei 35-jährigem Handwerker mit typischer Beitragshistorie wird die Invaliditätspension auf ca. 1.100 €/Monat geschätzt (Referenzwert: Durchschnittliche ASVG-Invaliditätspension Österreich 2023 ca. 1.050–1.150 €/Monat brutto; nach Abzug Krankenversicherungsbeitrag netto ca. 1.000–1.050 €). Annahme: Gesetzliche Nettopension = 1.050 €/Monat. Versorgungslücke = 1.800 € − 1.050 € = 750 €/Monat. Da der Kunde ledig und ohne Unterhaltspflichten ist, wird ein leichter Abschlag von 50 € vorgenommen, da der Haushaltsbedarf im Vergleich zu einer Familie geringfügig niedriger ist. Empfohlene monatliche Unfallrente = 750 € − 50 € = 700 €/Monat.", "getroffene_annahmen": "1) Gesetzliche ASVG-Invaliditätspension netto: 1.050 €/Monat (Referenz: österreichischer Durchschnittswert 2023 für Invaliditätspensionen, bereinigt um KV-Beitrag). 2) Rentenbedarf orientiert sich am vollen Nettoeinkommensersatz (keine Sparquote oder sonstige Abzüge mangels Angaben im Profil). 3) Einmalkosten-Referenzwerte basieren auf österreichischen Marktrichtwerten für barrierefreie Wohnungsadaptierung und Hilfsmittelversorgung. 4) Berufsrisiko Handwerker wird als erhöhtes Risiko für schwere Invaliditätsfolgen gewertet, was den oberen Ansatz bei Baustein 1 rechtfertigt. 5) Keine Annahmen zu Vermögen, Ersparnissen oder sonstigen Einkommensquellen, da im Profil nicht angegeben."}</t>
  </si>
  <si>
    <t>["Alter: 35 Jahre (lange Resterwerbsdauer bis zur Regelpension, ca. 30 Jahre)", "Monatliches Nettoeinkommen: 1.800 EUR", "Beruf: Handwerker (erhöhtes Unfallrisiko, körperliche Tätigkeit, eingeschränkte Umschulungsmöglichkeiten bei Invalidität)", "Familienstand: ledig, keine Kinder, keine Unterhaltspflichten (kein Versorgungsbedarf Dritter, aber auch kein zweites Haushaltseinkommen als Puffer)", "Gesetzliche Invaliditätspension nach ASVG als Grundleistung"]</t>
  </si>
  <si>
    <t>Baustein 1 deckt einmalige Kosten im Invaliditätsfall ab: Wohnungsadaptierung, Rehabilitationsmaßnahmen, Hilfsmittel (z. B. Rollstuhl, Prothesen), behindertengerechter Fahrzeugumbau. Als Handwerker ist bei schwerer Invalidität mit erheblichem Adaptierungsbedarf zu rechnen. Referenzwerte für typische Adaptierungskosten in Österreich: Wohnungsumbau (barrierefrei) ca. 20.000–30.000 EUR, Hilfsmittel und Rehabilitation ca. 10.000–15.000 EUR, sonstige Einmalkosten (z. B. Fahrzeugumbau, Pflegehilfsmittel) ca. 5.000–10.000 EUR. Summe der Einzelpositionen: ca. 35.000–55.000 EUR. Da der Kunde ledig ist und kein zweites Haushaltseinkommen zur Verfügung steht, das Einmalkosten abfedern könnte, wird der obere Bereich dieser Spanne angesetzt. Empfehlung: 50.000 EUR.</t>
  </si>
  <si>
    <t>Baustein 2 soll die monatliche Versorgungslücke zwischen individuellem Bedarf und gesetzlicher Leistung schließen. Nettoeinkommen: 1.800 EUR/Monat. Gesetzliche Invaliditätspension nach ASVG: Bei 35-jährigem Handwerker mit typischer Erwerbsbiografie wird die ASVG-Invaliditätspension auf Basis der Ausgleichszulage und der bisher erworbenen Versicherungszeiten geschätzt. Referenzwert: Die durchschnittliche Invaliditätspension in Österreich beträgt laut Statistik ca. 1.000–1.100 EUR brutto/Monat; netto (nach KV-Beitrag und Steuer) ca. 950–1.050 EUR. Für einen 35-Jährigen mit noch kurzer Beitragszeit ist die tatsächliche Pension eher am unteren Ende anzusetzen; Annahme: ca. 1.000 EUR netto/Monat. Versorgungslücke: 1.800 EUR – 1.000 EUR = 800 EUR/Monat. Da der Kunde keine Unterhaltspflichten hat und als Einzelperson wirtschaftet, wird ein moderater Abschlag von ca. 12 % vorgenommen, um dem Umstand Rechnung zu tragen, dass ein Einpersonenhaushalt im Invaliditätsfall gewisse Fixkosten (z. B. Mobilität, Freizeitausgaben) reduzieren kann, während gleichzeitig Mehrkosten durch Pflege entstehen können – diese Effekte werden als weitgehend kompensierend betrachtet. Empfehlung: 700 EUR/Monat (gerundet auf volle 100 EUR, leicht unterhalb der rechnerischen Lücke von 800 EUR, da keine Unterhaltspflichten bestehen und der Bedarf Dritter entfällt).</t>
  </si>
  <si>
    <t>1. Gesetzliche ASVG-Invaliditätspension: Angenommen werden ca. 1.000 EUR netto/Monat. Dieser Wert basiert auf dem österreichischen Durchschnitt für Invaliditätspensionen (Statistik Austria / PVA-Referenzwerte ca. 1.000–1.100 EUR brutto) und berücksichtigt die noch kurze Beitragszeit eines 35-Jährigen. 2. Private Unfallversicherungsleistungen werden ab einem Invaliditätsgrad von 50 % ausgelöst (gemäß Beratungskontext). 3. Es werden keine Vermögenswerte, Ersparnisse oder sonstige Einkommensquellen des Kunden angenommen, da hierzu keine Angaben im Profil vorliegen. 4. Die Einmalkosten (Baustein 1) orientieren sich an österreichischen Marktrichtwerten für Wohnungsadaptierung und Rehabilitation; keine individuellen Immobilienverhältnisse bekannt. 5. Regelpensionsalter: 65 Jahre (Resterwerbsdauer ca. 30 Jahre).</t>
  </si>
  <si>
    <t>{"baustein_1_einmalzahlung_eur": 50000, "baustein_2_unfallrente_monatlich_eur": 700, "beruecksichtigte_faktoren": ["Alter: 35 Jahre (lange Resterwerbsdauer bis zur Regelpension, ca. 30 Jahre)", "Monatliches Nettoeinkommen: 1.800 EUR", "Beruf: Handwerker (erhöhtes Unfallrisiko, körperliche Tätigkeit, eingeschränkte Umschulungsmöglichkeiten bei Invalidität)", "Familienstand: ledig, keine Kinder, keine Unterhaltspflichten (kein Versorgungsbedarf Dritter, aber auch kein zweites Haushaltseinkommen als Puffer)", "Gesetzliche Invaliditätspension nach ASVG als Grundleistung"], "berechnungslogik_baustein_1": "Baustein 1 deckt einmalige Kosten im Invaliditätsfall ab: Wohnungsadaptierung, Rehabilitationsmaßnahmen, Hilfsmittel (z. B. Rollstuhl, Prothesen), behindertengerechter Fahrzeugumbau. Als Handwerker ist bei schwerer Invalidität mit erheblichem Adaptierungsbedarf zu rechnen. Referenzwerte für typische Adaptierungskosten in Österreich: Wohnungsumbau (barrierefrei) ca. 20.000–30.000 EUR, Hilfsmittel und Rehabilitation ca. 10.000–15.000 EUR, sonstige Einmalkosten (z. B. Fahrzeugumbau, Pflegehilfsmittel) ca. 5.000–10.000 EUR. Summe der Einzelpositionen: ca. 35.000–55.000 EUR. Da der Kunde ledig ist und kein zweites Haushaltseinkommen zur Verfügung steht, das Einmalkosten abfedern könnte, wird der obere Bereich dieser Spanne angesetzt. Empfehlung: 50.000 EUR.", "berechnungslogik_baustein_2": "Baustein 2 soll die monatliche Versorgungslücke zwischen individuellem Bedarf und gesetzlicher Leistung schließen. Nettoeinkommen: 1.800 EUR/Monat. Gesetzliche Invaliditätspension nach ASVG: Bei 35-jährigem Handwerker mit typischer Erwerbsbiografie wird die ASVG-Invaliditätspension auf Basis der Ausgleichszulage und der bisher erworbenen Versicherungszeiten geschätzt. Referenzwert: Die durchschnittliche Invaliditätspension in Österreich beträgt laut Statistik ca. 1.000–1.100 EUR brutto/Monat; netto (nach KV-Beitrag und Steuer) ca. 950–1.050 EUR. Für einen 35-Jährigen mit noch kurzer Beitragszeit ist die tatsächliche Pension eher am unteren Ende anzusetzen; Annahme: ca. 1.000 EUR netto/Monat. Versorgungslücke: 1.800 EUR – 1.000 EUR = 800 EUR/Monat. Da der Kunde keine Unterhaltspflichten hat und als Einzelperson wirtschaftet, wird ein moderater Abschlag von ca. 12 % vorgenommen, um dem Umstand Rechnung zu tragen, dass ein Einpersonenhaushalt im Invaliditätsfall gewisse Fixkosten (z. B. Mobilität, Freizeitausgaben) reduzieren kann, während gleichzeitig Mehrkosten durch Pflege entstehen können – diese Effekte werden als weitgehend kompensierend betrachtet. Empfehlung: 700 EUR/Monat (gerundet auf volle 100 EUR, leicht unterhalb der rechnerischen Lücke von 800 EUR, da keine Unterhaltspflichten bestehen und der Bedarf Dritter entfällt).", "getroffene_annahmen": "1. Gesetzliche ASVG-Invaliditätspension: Angenommen werden ca. 1.000 EUR netto/Monat. Dieser Wert basiert auf dem österreichischen Durchschnitt für Invaliditätspensionen (Statistik Austria / PVA-Referenzwerte ca. 1.000–1.100 EUR brutto) und berücksichtigt die noch kurze Beitragszeit eines 35-Jährigen. 2. Private Unfallversicherungsleistungen werden ab einem Invaliditätsgrad von 50 % ausgelöst (gemäß Beratungskontext). 3. Es werden keine Vermögenswerte, Ersparnisse oder sonstige Einkommensquellen des Kunden angenommen, da hierzu keine Angaben im Profil vorliegen. 4. Die Einmalkosten (Baustein 1) orientieren sich an österreichischen Marktrichtwerten für Wohnungsadaptierung und Rehabilitation; keine individuellen Immobilienverhältnisse bekannt. 5. Regelpensionsalter: 65 Jahre (Resterwerbsdauer ca. 30 Jahre)."}</t>
  </si>
  <si>
    <t>["Alter: 35 Jahre", "Nettoeinkommen: 1.800 €/Monat", "Berufsrisiko: Handwerker (erhöhtes Unfallrisiko durch körperliche Tätigkeit)", "Familienstand: ledig, keine Kinder (keine Unterhaltspflichten)"]</t>
  </si>
  <si>
    <t>Einmalige Kosten im Invaliditätsfall umfassen typischerweise: Wohnungsadaptierung (ca. 30.000–40.000 €), Rehabilitationsmaßnahmen (ca. 15.000–20.000 €) sowie Hilfsmittel/Umbaumaßnahmen (ca. 15.000–25.000 €). Als Handwerker besteht ein erhöhtes Risiko für schwere körperliche Unfallfolgen (z. B. Verlust von Gliedmaßen, Wirbelsäulenverletzungen), was den einmaligen Adaptierungsbedarf nach oben treibt. Da keine Unterhaltspflichten bestehen, ist kein Aufschlag für familiäre Absicherung erforderlich. Ansatz: 80.000 € als Pauschalbetrag für einmalige unfallbedingte Mehrkosten bei einem Handwerker mit erhöhtem Körperschadenrisiko.</t>
  </si>
  <si>
    <t>Nettoeinkommen: 1.800 €/Monat. Referenzwert gesetzliche ASVG-Invaliditätspension bei dauernder Erwerbsminderung (ab 50 % Invaliditätsgrad): Für einen 35-jährigen Versicherten mit durchschnittlicher Beitragsgrundlage wird die Invaliditätspension auf ca. 1.100 €/Monat netto geschätzt (Bemessungsgrundlage orientiert an 1.800 € Netto ≈ 2.400 € Brutto; ASVG-Pensionsberechnung ergibt bei 35 Jahren und typischer Versicherungsdauer ca. 60–65 % der Bemessungsgrundlage, jedoch gedeckelt durch Mindest- und Zurechnungszeiten; Ansatz: 1.100 € netto). Versorgungslücke: 1.800 € − 1.100 € = 700 €/Monat. Da keine Unterhaltspflichten bestehen, ist kein Aufschlag erforderlich. Als Handwerker besteht zwar erhöhtes Unfallrisiko, jedoch keine Anpassung der Rentenhöhe nach oben, da die Lücke einkommensbasiert berechnet wird. Empfehlung: 700 €/Monat monatliche Unfallrente.</t>
  </si>
  <si>
    <t>1. Gesetzliche ASVG-Invaliditätspension: Für einen 35-jährigen Handwerker mit einem Nettoeinkommen von 1.800 €/Monat (entspricht ca. 2.400 € brutto) wird die Invaliditätspension auf 1.100 € netto/Monat geschätzt. Dieser Wert basiert auf der ASVG-Pensionsformel unter Berücksichtigung von Zurechnungszeiten bis zum 60. Lebensjahr, die bei jungen Versicherten die Pension stützen. 2. Die private Unfallrente wird ab einem Invaliditätsgrad von 50 % als Vollleistung ausbezahlt. 3. Es werden keine weiteren Einkommensquellen (z. B. Vermögen, Mieteinnahmen) angenommen, da das Profil keine solchen Angaben enthält. 4. Für Baustein 1 werden Erfahrungswerte für behindertengerechte Wohnungsadaptierung, Rehabilitation und Hilfsmittel in Österreich herangezogen.</t>
  </si>
  <si>
    <t>{"baustein_1_einmalzahlung_eur": 80000, "baustein_2_unfallrente_monatlich_eur": 700, "beruecksichtigte_faktoren": ["Alter: 35 Jahre", "Nettoeinkommen: 1.800 €/Monat", "Berufsrisiko: Handwerker (erhöhtes Unfallrisiko durch körperliche Tätigkeit)", "Familienstand: ledig, keine Kinder (keine Unterhaltspflichten)"], "berechnungslogik_baustein_1": "Einmalige Kosten im Invaliditätsfall umfassen typischerweise: Wohnungsadaptierung (ca. 30.000–40.000 €), Rehabilitationsmaßnahmen (ca. 15.000–20.000 €) sowie Hilfsmittel/Umbaumaßnahmen (ca. 15.000–25.000 €). Als Handwerker besteht ein erhöhtes Risiko für schwere körperliche Unfallfolgen (z. B. Verlust von Gliedmaßen, Wirbelsäulenverletzungen), was den einmaligen Adaptierungsbedarf nach oben treibt. Da keine Unterhaltspflichten bestehen, ist kein Aufschlag für familiäre Absicherung erforderlich. Ansatz: 80.000 € als Pauschalbetrag für einmalige unfallbedingte Mehrkosten bei einem Handwerker mit erhöhtem Körperschadenrisiko.", "berechnungslogik_baustein_2": "Nettoeinkommen: 1.800 €/Monat. Referenzwert gesetzliche ASVG-Invaliditätspension bei dauernder Erwerbsminderung (ab 50 % Invaliditätsgrad): Für einen 35-jährigen Versicherten mit durchschnittlicher Beitragsgrundlage wird die Invaliditätspension auf ca. 1.100 €/Monat netto geschätzt (Bemessungsgrundlage orientiert an 1.800 € Netto ≈ 2.400 € Brutto; ASVG-Pensionsberechnung ergibt bei 35 Jahren und typischer Versicherungsdauer ca. 60–65 % der Bemessungsgrundlage, jedoch gedeckelt durch Mindest- und Zurechnungszeiten; Ansatz: 1.100 € netto). Versorgungslücke: 1.800 € − 1.100 € = 700 €/Monat. Da keine Unterhaltspflichten bestehen, ist kein Aufschlag erforderlich. Als Handwerker besteht zwar erhöhtes Unfallrisiko, jedoch keine Anpassung der Rentenhöhe nach oben, da die Lücke einkommensbasiert berechnet wird. Empfehlung: 700 €/Monat monatliche Unfallrente.", "getroffene_annahmen": "1. Gesetzliche ASVG-Invaliditätspension: Für einen 35-jährigen Handwerker mit einem Nettoeinkommen von 1.800 €/Monat (entspricht ca. 2.400 € brutto) wird die Invaliditätspension auf 1.100 € netto/Monat geschätzt. Dieser Wert basiert auf der ASVG-Pensionsformel unter Berücksichtigung von Zurechnungszeiten bis zum 60. Lebensjahr, die bei jungen Versicherten die Pension stützen. 2. Die private Unfallrente wird ab einem Invaliditätsgrad von 50 % als Vollleistung ausbezahlt. 3. Es werden keine weiteren Einkommensquellen (z. B. Vermögen, Mieteinnahmen) angenommen, da das Profil keine solchen Angaben enthält. 4. Für Baustein 1 werden Erfahrungswerte für behindertengerechte Wohnungsadaptierung, Rehabilitation und Hilfsmittel in Österreich herangezogen."}</t>
  </si>
  <si>
    <t>P04</t>
  </si>
  <si>
    <t>["Alter 35 Jahre (lange Resterwerbsdauer von ca. 30 Jahren bis Regelpensionsalter 65)", "Nettoeinkommen 1.800 €/Monat", "Berufsrisiko Handwerker (erhöhtes Unfallrisiko, körperliche Tätigkeit, bei Invalidität vollständiger Berufsausfall wahrscheinlich)", "Unterhaltspflichten: verheiratet, 3 Kinder (hoher laufender Finanzbedarf der Familie)", "Gesetzliche ASVG-Invaliditätspension als Referenz-Grundleistung"]</t>
  </si>
  <si>
    <t>Einmalige Kosten bei dauernder Invalidität umfassen typischerweise: Wohnungsadaptierung (barrierefrei, Umbau Sanitär, Rampen etc.): 40.000 €; Rehabilitationskosten und Hilfsmittel (Rollstuhl, Prothesen, Therapien): 20.000 €; Fahrzeugadaptierung oder Mobilitätshilfen: 10.000 €; Sonderbedarf durch 3 Kinder (Betreuungsorganisation, Umstrukturierung Haushalt): 10.000 €. Summe: 80.000 €. Als Handwerker ist bei schwerer Invalidität ein vollständiger Verlust der Arbeitsfähigkeit im erlernten Beruf realistisch, was den Adaptierungsbedarf erhöht. Das Alter von 35 Jahren bedeutet eine lange Nutzungsdauer der Hilfsmittel und Adaptierungen, was den Einmalbedarf nach oben stützt.</t>
  </si>
  <si>
    <t>Nettoeinkommen: 1.800 €/Monat. Referenzwert gesetzliche ASVG-Invaliditätspension: Bei einem 35-jährigen Handwerker mit durchschnittlichem Einkommen (Bemessungsgrundlage ca. 1.800 € netto entspricht ca. 2.300 € brutto) ist die ASVG-Invaliditätspension auf ca. 60 % der Bemessungsgrundlage anzusetzen, d. h. ca. 900 € netto/Monat (Richtwert gemäß ASVG-Durchschnittswerten für Versicherte mit kurzer Beitragszeit, da mit 35 Jahren noch keine vollständige Versicherungskarriere vorliegt). Versorgungslücke: 1.800 € − 900 € = 900 €/Monat. Aufgrund der 3 Kinder und der Alleinverdiener-Situation (keine gegenteiligen Angaben im Profil) ist die vollständige Schließung der Versorgungslücke erforderlich. Empfohlene monatliche Unfallrente: 900 €/Monat.</t>
  </si>
  <si>
    <t>1) Regelpensionsalter: 65 Jahre (Resterwerbsdauer 30 Jahre). 2) ASVG-Invaliditätspension: Angesetzt mit ca. 900 € netto/Monat als Referenzwert für einen 35-jährigen Versicherten mit ca. 15 Beitragsjahren und einer Bemessungsgrundlage entsprechend dem angegebenen Einkommensniveau; dieser Wert basiert auf dem ASVG-Berechnungsschema (Steigerungsbetrag × Bemessungsgrundlage × Versicherungsmonate), wobei mit 35 Jahren noch keine vollständige Versicherungskarriere vorliegt und die Pension daher deutlich unter dem letzten Nettoeinkommen liegt. 3) Private Unfallrente wird ab 50 % Invaliditätsgrad in voller Höhe ausbezahlt (marktübliche Bedingung). 4) Es wird keine Erwerbstätigkeit des Ehepartners angenommen, da das Profil keine entsprechenden Angaben enthält. 5) Kaufkraftanpassung/Valorisierung der Rente wird über eine marktübliche Indexklausel im Vertrag sichergestellt und ist nicht Gegenstand der Summenfestlegung. 6) Einmalzahlung Baustein 1 deckt den Bedarf zum Zeitpunkt des Schadeneintritts ab; keine Inflationsanpassung eingerechnet, da Sofortbedarf im Vordergrund steht.</t>
  </si>
  <si>
    <t>{"baustein_1_einmalzahlung_eur": 80000, "baustein_2_unfallrente_monatlich_eur": 900, "beruecksichtigte_faktoren": ["Alter 35 Jahre (lange Resterwerbsdauer von ca. 30 Jahren bis Regelpensionsalter 65)", "Nettoeinkommen 1.800 €/Monat", "Berufsrisiko Handwerker (erhöhtes Unfallrisiko, körperliche Tätigkeit, bei Invalidität vollständiger Berufsausfall wahrscheinlich)", "Unterhaltspflichten: verheiratet, 3 Kinder (hoher laufender Finanzbedarf der Familie)", "Gesetzliche ASVG-Invaliditätspension als Referenz-Grundleistung"], "berechnungslogik_baustein_1": "Einmalige Kosten bei dauernder Invalidität umfassen typischerweise: Wohnungsadaptierung (barrierefrei, Umbau Sanitär, Rampen etc.): 40.000 €; Rehabilitationskosten und Hilfsmittel (Rollstuhl, Prothesen, Therapien): 20.000 €; Fahrzeugadaptierung oder Mobilitätshilfen: 10.000 €; Sonderbedarf durch 3 Kinder (Betreuungsorganisation, Umstrukturierung Haushalt): 10.000 €. Summe: 80.000 €. Als Handwerker ist bei schwerer Invalidität ein vollständiger Verlust der Arbeitsfähigkeit im erlernten Beruf realistisch, was den Adaptierungsbedarf erhöht. Das Alter von 35 Jahren bedeutet eine lange Nutzungsdauer der Hilfsmittel und Adaptierungen, was den Einmalbedarf nach oben stützt.", "berechnungslogik_baustein_2": "Nettoeinkommen: 1.800 €/Monat. Referenzwert gesetzliche ASVG-Invaliditätspension: Bei einem 35-jährigen Handwerker mit durchschnittlichem Einkommen (Bemessungsgrundlage ca. 1.800 € netto entspricht ca. 2.300 € brutto) ist die ASVG-Invaliditätspension auf ca. 60 % der Bemessungsgrundlage anzusetzen, d. h. ca. 900 € netto/Monat (Richtwert gemäß ASVG-Durchschnittswerten für Versicherte mit kurzer Beitragszeit, da mit 35 Jahren noch keine vollständige Versicherungskarriere vorliegt). Versorgungslücke: 1.800 € − 900 € = 900 €/Monat. Aufgrund der 3 Kinder und der Alleinverdiener-Situation (keine gegenteiligen Angaben im Profil) ist die vollständige Schließung der Versorgungslücke erforderlich. Empfohlene monatliche Unfallrente: 900 €/Monat.", "getroffene_annahmen": "1) Regelpensionsalter: 65 Jahre (Resterwerbsdauer 30 Jahre). 2) ASVG-Invaliditätspension: Angesetzt mit ca. 900 € netto/Monat als Referenzwert für einen 35-jährigen Versicherten mit ca. 15 Beitragsjahren und einer Bemessungsgrundlage entsprechend dem angegebenen Einkommensniveau; dieser Wert basiert auf dem ASVG-Berechnungsschema (Steigerungsbetrag × Bemessungsgrundlage × Versicherungsmonate), wobei mit 35 Jahren noch keine vollständige Versicherungskarriere vorliegt und die Pension daher deutlich unter dem letzten Nettoeinkommen liegt. 3) Private Unfallrente wird ab 50 % Invaliditätsgrad in voller Höhe ausbezahlt (marktübliche Bedingung). 4) Es wird keine Erwerbstätigkeit des Ehepartners angenommen, da das Profil keine entsprechenden Angaben enthält. 5) Kaufkraftanpassung/Valorisierung der Rente wird über eine marktübliche Indexklausel im Vertrag sichergestellt und ist nicht Gegenstand der Summenfestlegung. 6) Einmalzahlung Baustein 1 deckt den Bedarf zum Zeitpunkt des Schadeneintritts ab; keine Inflationsanpassung eingerechnet, da Sofortbedarf im Vordergrund steht."}</t>
  </si>
  <si>
    <t>["Alter: 35 Jahre (lange verbleibende Erwerbsbiografie bis zur Regelpension, ca. 30 Jahre)", "Monatliches Nettoeinkommen: 1.800 EUR", "Beruf: Handwerker (erhöhtes Unfallrisiko, körperliche Tätigkeit, eingeschränkte Umschulungsmöglichkeiten bei Invalidität)", "Familienstand: verheiratet, drei Kinder", "Unterhaltspflichten: erhöhter laufender Finanzbedarf der Familie"]</t>
  </si>
  <si>
    <t>Einmalige Kosten im Invaliditätsfall umfassen typischerweise: Wohnungsadaptierung (barrierefrei, z. B. Umbau Bad, Rampen, Türverbreiterungen): angesetzt 30.000 EUR; Hilfsmittel (Rollstuhl, Prothesen, technische Hilfsmittel): angesetzt 15.000 EUR; Rehabilitationsmaßnahmen (stationär/ambulant, Eigenanteile nach ASVG): angesetzt 10.000 EUR; Umschulungskosten bzw. berufsbedingte Anpassungsmaßnahmen (Handwerker mit eingeschränkter Umschulungsfähigkeit): angesetzt 10.000 EUR; Sicherheitspuffer für nicht vorhersehbare Einmalkosten (z. B. Fahrzeugadaptierung, Pflegehilfsmittel): angesetzt 15.000 EUR. Summe: 30.000 + 15.000 + 10.000 + 10.000 + 15.000 = 80.000 EUR.</t>
  </si>
  <si>
    <t>Ausgangsgröße: Monatliches Nettoeinkommen 1.800 EUR. Gesetzliche Invaliditätspension nach ASVG: Bei 35 Jahren und einer typischen Beitragszeit von ca. 17 Versicherungsjahren (Erwerbseinstieg mit ca. 18 Jahren) ergibt sich nach ASVG-Bemessungslogik eine Invaliditätspension von geschätzt ca. 900 EUR netto/Monat (Referenzwert: Durchschnittliche ASVG-Invaliditätspension Österreich ca. 1.000 EUR brutto, entspricht ca. 850–950 EUR netto bei niedrigem Einkommen; hier angesetzt: 900 EUR netto). Versorgungslücke: 1.800 EUR (Nettoeinkommen) – 900 EUR (gesetzliche Pension) = 900 EUR/Monat. Erhöhungsfaktor Unterhaltspflichten: Drei Kinder und Ehepartner bedingen einen überdurchschnittlichen laufenden Finanzbedarf. Die errechnete Lücke von 900 EUR deckt diesen Mehrbedarf bereits vollständig ab, da das Ausgangseinkommen von 1.800 EUR die gesamte Familienlast trägt. Empfohlene monatliche Unfallrente: 900 EUR.</t>
  </si>
  <si>
    <t>1. Erwerbseinstieg mit 18 Jahren angenommen, daraus folgen ca. 17 ASVG-Versicherungsjahre zum Zeitpunkt der Beratung (Alter 35). 2. Gesetzliche ASVG-Invaliditätspension netto angesetzt mit 900 EUR/Monat (Referenz: österreichischer Durchschnittswert für Invaliditätspensionen bei niedrigem bis mittlerem Einkommen und kurzer Beitragszeit). 3. Die private Unfallrente wird ab einem Invaliditätsgrad von 50 % als Volleistung angenommen (marktübliche Bedingung). 4. Keine weiteren Einkommensquellen des Kunden oder des Ehepartners im Profil angegeben; es wird davon ausgegangen, dass das angegebene Nettoeinkommen die alleinige Einkommensgrundlage der Familie darstellt. 5. Einmalkosten für Baustein 1 wurden auf Basis marktüblicher Kostenpositionen für schwere Invaliditätsfälle in Österreich geschätzt; keine individuellen Wohnverhältnisse oder Vorerkrankungen bekannt.</t>
  </si>
  <si>
    <t>{"baustein_1_einmalzahlung_eur": 80000, "baustein_2_unfallrente_monatlich_eur": 900, "beruecksichtigte_faktoren": ["Alter: 35 Jahre (lange verbleibende Erwerbsbiografie bis zur Regelpension, ca. 30 Jahre)", "Monatliches Nettoeinkommen: 1.800 EUR", "Beruf: Handwerker (erhöhtes Unfallrisiko, körperliche Tätigkeit, eingeschränkte Umschulungsmöglichkeiten bei Invalidität)", "Familienstand: verheiratet, drei Kinder", "Unterhaltspflichten: erhöhter laufender Finanzbedarf der Familie"], "berechnungslogik_baustein_1": "Einmalige Kosten im Invaliditätsfall umfassen typischerweise: Wohnungsadaptierung (barrierefrei, z. B. Umbau Bad, Rampen, Türverbreiterungen): angesetzt 30.000 EUR; Hilfsmittel (Rollstuhl, Prothesen, technische Hilfsmittel): angesetzt 15.000 EUR; Rehabilitationsmaßnahmen (stationär/ambulant, Eigenanteile nach ASVG): angesetzt 10.000 EUR; Umschulungskosten bzw. berufsbedingte Anpassungsmaßnahmen (Handwerker mit eingeschränkter Umschulungsfähigkeit): angesetzt 10.000 EUR; Sicherheitspuffer für nicht vorhersehbare Einmalkosten (z. B. Fahrzeugadaptierung, Pflegehilfsmittel): angesetzt 15.000 EUR. Summe: 30.000 + 15.000 + 10.000 + 10.000 + 15.000 = 80.000 EUR.", "berechnungslogik_baustein_2": "Ausgangsgröße: Monatliches Nettoeinkommen 1.800 EUR. Gesetzliche Invaliditätspension nach ASVG: Bei 35 Jahren und einer typischen Beitragszeit von ca. 17 Versicherungsjahren (Erwerbseinstieg mit ca. 18 Jahren) ergibt sich nach ASVG-Bemessungslogik eine Invaliditätspension von geschätzt ca. 900 EUR netto/Monat (Referenzwert: Durchschnittliche ASVG-Invaliditätspension Österreich ca. 1.000 EUR brutto, entspricht ca. 850–950 EUR netto bei niedrigem Einkommen; hier angesetzt: 900 EUR netto). Versorgungslücke: 1.800 EUR (Nettoeinkommen) – 900 EUR (gesetzliche Pension) = 900 EUR/Monat. Erhöhungsfaktor Unterhaltspflichten: Drei Kinder und Ehepartner bedingen einen überdurchschnittlichen laufenden Finanzbedarf. Die errechnete Lücke von 900 EUR deckt diesen Mehrbedarf bereits vollständig ab, da das Ausgangseinkommen von 1.800 EUR die gesamte Familienlast trägt. Empfohlene monatliche Unfallrente: 900 EUR.", "getroffene_annahmen": "1. Erwerbseinstieg mit 18 Jahren angenommen, daraus folgen ca. 17 ASVG-Versicherungsjahre zum Zeitpunkt der Beratung (Alter 35). 2. Gesetzliche ASVG-Invaliditätspension netto angesetzt mit 900 EUR/Monat (Referenz: österreichischer Durchschnittswert für Invaliditätspensionen bei niedrigem bis mittlerem Einkommen und kurzer Beitragszeit). 3. Die private Unfallrente wird ab einem Invaliditätsgrad von 50 % als Volleistung angenommen (marktübliche Bedingung). 4. Keine weiteren Einkommensquellen des Kunden oder des Ehepartners im Profil angegeben; es wird davon ausgegangen, dass das angegebene Nettoeinkommen die alleinige Einkommensgrundlage der Familie darstellt. 5. Einmalkosten für Baustein 1 wurden auf Basis marktüblicher Kostenpositionen für schwere Invaliditätsfälle in Österreich geschätzt; keine individuellen Wohnverhältnisse oder Vorerkrankungen bekannt."}</t>
  </si>
  <si>
    <t>["Alter: 35 Jahre", "Nettoeinkommen: 1.800 €/Monat", "Berufsrisiko: Handwerker (erhöhtes Unfallrisiko durch körperliche Tätigkeit)", "Unterhaltspflichten: verheiratet, 3 Kinder (5 Personen im Haushalt abhängig vom Einkommen)"]</t>
  </si>
  <si>
    <t>Einmalige Invaliditätsleistung zur Deckung nicht-wiederkehrender Kosten im Invaliditätsfall. Ansatzpunkte: (1) Wohnungsadaptierung bei Invalidität: Referenzwert Österreich ca. 30.000–50.000 € (barrierefreier Umbau, Rampen, Badezimmer, Türbreiten); angesetzt: 40.000 €. (2) Hilfsmittel und Rehabilitationskosten (Rollstuhl, Prothesen, Therapien, nicht vollständig durch GKV gedeckt): angesetzt 20.000 €. (3) Einmaliger Einkommensausfall-Puffer in der Übergangsphase bis zur Rentengewährung (ca. 3–6 Monate Wartezeit/Verfahrensdauer): 1.800 € × 3 Monate Puffer = 5.400 €; aufgerundet auf 10.000 € wegen erhöhtem Bedarf bei 3 Kindern. (4) Erhöhter Einrichtungs-/Anpassungsbedarf durch Familiengröße (5 Personen): Aufschlag 10.000 €. Summe: 40.000 + 20.000 + 10.000 + 10.000 = 80.000 €.</t>
  </si>
  <si>
    <t>Monatliche Unfallrente zum dauerhaften Ausgleich der Versorgungslücke. Ausgangspunkt: Nettoeinkommen 1.800 €/Monat. Gesetzliche ASVG-Invaliditätspension (Referenzwert): Bei 35-jährigem Handwerker mit durchschnittlichem Versicherungsverlauf wird die ASVG-Invaliditätspension auf ca. 900 €/Monat netto geschätzt (Basis: Ausgleichszulagenrichtsatz 2024 für Ehepaare ca. 1.782 €/Monat brutto als Untergrenze; bei kurzer Beitragszeit eines 35-Jährigen ist die Eigenpension oft gering und wird auf Richtsatz aufgestockt; für Einzelperson ca. 1.217 € brutto / ~900 € netto als realistischer Schätzwert). Versorgungslücke: 1.800 € − 900 € = 900 €/Monat. Dieser Betrag sichert den bisherigen Lebensstandard der Familie (Ehepartner + 3 Kinder) und deckt die laufenden Unterhaltsverpflichtungen ab. Das erhöhte Berufsrisiko als Handwerker sowie das junge Alter (potenziell 30+ Jahre Rentenbezug) bestätigen die Notwendigkeit, die volle Lücke zu schließen. Empfehlung: 900 €/Monat.</t>
  </si>
  <si>
    <t>1. ASVG-Invaliditätspension: Mangels konkreter Versicherungszeiten wird ein Nettobetrag von ca. 900 €/Monat als realistischer Schätzwert für einen 35-jährigen Handwerker mit durchschnittlichem Beitragsverlauf angenommen (orientiert am Ausgleichszulagenrichtsatz 2024 für Einzelpersonen: ca. 1.217 € brutto). 2. Auslösung der privaten Unfallrente ab 50 % Invaliditätsgrad gemäß Standardbedingungen. 3. Wohnungsadaptierungskosten basieren auf österreichischen Durchschnittswerten für barrierefreien Umbau. 4. Keine Angaben zu bestehendem Vermögen, Immobilienbesitz oder sonstigen Versicherungen — es wird angenommen, dass keine wesentlichen zusätzlichen Absicherungen bestehen. 5. Kein Einkommen des Ehepartners bekannt — es wird angenommen, dass der Kunde Alleinverdiener ist, da keine gegenteiligen Angaben vorliegen.</t>
  </si>
  <si>
    <t>{"baustein_1_einmalzahlung_eur": 80000, "baustein_2_unfallrente_monatlich_eur": 900, "beruecksichtigte_faktoren": ["Alter: 35 Jahre", "Nettoeinkommen: 1.800 €/Monat", "Berufsrisiko: Handwerker (erhöhtes Unfallrisiko durch körperliche Tätigkeit)", "Unterhaltspflichten: verheiratet, 3 Kinder (5 Personen im Haushalt abhängig vom Einkommen)"], "berechnungslogik_baustein_1": "Einmalige Invaliditätsleistung zur Deckung nicht-wiederkehrender Kosten im Invaliditätsfall. Ansatzpunkte: (1) Wohnungsadaptierung bei Invalidität: Referenzwert Österreich ca. 30.000–50.000 € (barrierefreier Umbau, Rampen, Badezimmer, Türbreiten); angesetzt: 40.000 €. (2) Hilfsmittel und Rehabilitationskosten (Rollstuhl, Prothesen, Therapien, nicht vollständig durch GKV gedeckt): angesetzt 20.000 €. (3) Einmaliger Einkommensausfall-Puffer in der Übergangsphase bis zur Rentengewährung (ca. 3–6 Monate Wartezeit/Verfahrensdauer): 1.800 € × 3 Monate Puffer = 5.400 €; aufgerundet auf 10.000 € wegen erhöhtem Bedarf bei 3 Kindern. (4) Erhöhter Einrichtungs-/Anpassungsbedarf durch Familiengröße (5 Personen): Aufschlag 10.000 €. Summe: 40.000 + 20.000 + 10.000 + 10.000 = 80.000 €.", "berechnungslogik_baustein_2": "Monatliche Unfallrente zum dauerhaften Ausgleich der Versorgungslücke. Ausgangspunkt: Nettoeinkommen 1.800 €/Monat. Gesetzliche ASVG-Invaliditätspension (Referenzwert): Bei 35-jährigem Handwerker mit durchschnittlichem Versicherungsverlauf wird die ASVG-Invaliditätspension auf ca. 900 €/Monat netto geschätzt (Basis: Ausgleichszulagenrichtsatz 2024 für Ehepaare ca. 1.782 €/Monat brutto als Untergrenze; bei kurzer Beitragszeit eines 35-Jährigen ist die Eigenpension oft gering und wird auf Richtsatz aufgestockt; für Einzelperson ca. 1.217 € brutto / ~900 € netto als realistischer Schätzwert). Versorgungslücke: 1.800 € − 900 € = 900 €/Monat. Dieser Betrag sichert den bisherigen Lebensstandard der Familie (Ehepartner + 3 Kinder) und deckt die laufenden Unterhaltsverpflichtungen ab. Das erhöhte Berufsrisiko als Handwerker sowie das junge Alter (potenziell 30+ Jahre Rentenbezug) bestätigen die Notwendigkeit, die volle Lücke zu schließen. Empfehlung: 900 €/Monat.", "getroffene_annahmen": "1. ASVG-Invaliditätspension: Mangels konkreter Versicherungszeiten wird ein Nettobetrag von ca. 900 €/Monat als realistischer Schätzwert für einen 35-jährigen Handwerker mit durchschnittlichem Beitragsverlauf angenommen (orientiert am Ausgleichszulagenrichtsatz 2024 für Einzelpersonen: ca. 1.217 € brutto). 2. Auslösung der privaten Unfallrente ab 50 % Invaliditätsgrad gemäß Standardbedingungen. 3. Wohnungsadaptierungskosten basieren auf österreichischen Durchschnittswerten für barrierefreien Umbau. 4. Keine Angaben zu bestehendem Vermögen, Immobilienbesitz oder sonstigen Versicherungen — es wird angenommen, dass keine wesentlichen zusätzlichen Absicherungen bestehen. 5. Kein Einkommen des Ehepartners bekannt — es wird angenommen, dass der Kunde Alleinverdiener ist, da keine gegenteiligen Angaben vorliegen."}</t>
  </si>
  <si>
    <t>P05</t>
  </si>
  <si>
    <t>["Alter 35 Jahre (lange Resterwerbsdauer von ca. 30 Jahren bis Regelpensionsalter 65)", "Nettoeinkommen 1.800 €/Monat als Bemessungsgrundlage für Versorgungslücke", "Berufsrisiko Dachdecker/Gerüstbauer (erhöhtes Unfallrisiko, körperlich anspruchsvolle Tätigkeit, bei Invalidität vollständiger Berufsaufgabe wahrscheinlich)", "Familienstand ledig, keine Kinder (kein Mehrbedarf durch Unterhaltspflichten, jedoch auch kein zweites Haushaltseinkommen als Puffer)"]</t>
  </si>
  <si>
    <t>Einmalige Invaliditätsleistung zur Deckung nicht-wiederkehrender Kosten bei dauernder Invalidität. Angesetzt werden folgende Kostenpositionen: (1) Wohnungsadaptierung (barrierefreier Umbau, Rampen, Badumbau): 30.000 €; (2) Hilfsmittel und Rehabilitationsausstattung (Rollstuhl, Prothesen, technische Hilfsmittel): 20.000 €; (3) Umschulungskosten bzw. berufliche Rehabilitation (bei Dachdecker/Gerüstbauer ist nach schwerer Invalidität eine vollständige Berufsaufgabe realistisch): 15.000 €; (4) Liquiditätspuffer für die Übergangsphase bis zur Stabilisierung der Leistungen (ca. 3 Monate Nettoeinkommen): 5.400 €; (5) Sonstiger einmaliger Mehrbedarf (Anwalts-/Behördenkosten, Anschaffungen): 9.600 €. Summe: 30.000 + 20.000 + 15.000 + 5.400 + 9.600 = 80.000 €.</t>
  </si>
  <si>
    <t>Monatliche Unfallrente zum dauerhaften Ausgleich der Versorgungslücke. Ausgangspunkt: Nettoeinkommen 1.800 €/Monat. Gesetzliche ASVG-Invaliditätspension (Referenzwert): Bei einem 35-jährigen Dachdecker mit durchschnittlichem Versicherungsverlauf wird die ASVG-Invaliditätspension auf ca. 900 €/Monat netto geschätzt (Bemessungsgrundlage typischerweise ca. 60–65 % des Letzteinkommens bei Berufsschutz, jedoch bei körperlichem Beruf und Verweisbarkeit auf andere Tätigkeiten oft geringer; Ansatz konservativ mit 50 % des Nettoeinkommens). Versorgungslücke: 1.800 € − 900 € = 900 €/Monat. Da der Kunde ledig und kinderlos ist, besteht kein familiärer Einkommenspuffer; das gesamte Haushaltseinkommen hängt an seiner eigenen Arbeitskraft. Die Unfallrente soll die Lücke vollständig schließen. Empfohlene monatliche Unfallrente: 900 €.</t>
  </si>
  <si>
    <t>1) ASVG-Invaliditätspension: Angesetzt mit 900 €/Monat netto (ca. 50 % des Nettoeinkommens). Dieser Wert basiert auf dem typischen Leistungsniveau für einen 35-jährigen Versicherten mit Berufsschutz als Dachdecker/Gerüstbauer; der tatsächliche Betrag hängt vom individuellen Versicherungsverlauf ab und kann abweichen. 2) Auslösung der privaten Unfallrente ab einem Invaliditätsgrad von 50 % gemäß üblicher Vertragsbedingungen. 3) Regelpensionsalter 65 Jahre (Resterwerbsdauer 30 Jahre) als Planungshorizont. 4) Keine Berücksichtigung von Inflation oder Valorisierung der Rente, da keine Angaben zu Präferenz oder Budget vorliegen. 5) Kostenpositionen für Baustein 1 sind Erfahrungswerte aus dem österreichischen Markt für Wohnungsadaptierung und Rehabilitation; individuelle Gegebenheiten (z. B. Eigentum vs. Miete) sind nicht bekannt und wurden nicht berücksichtigt.</t>
  </si>
  <si>
    <t>{"baustein_1_einmalzahlung_eur": 80000, "baustein_2_unfallrente_monatlich_eur": 900, "beruecksichtigte_faktoren": ["Alter 35 Jahre (lange Resterwerbsdauer von ca. 30 Jahren bis Regelpensionsalter 65)", "Nettoeinkommen 1.800 €/Monat als Bemessungsgrundlage für Versorgungslücke", "Berufsrisiko Dachdecker/Gerüstbauer (erhöhtes Unfallrisiko, körperlich anspruchsvolle Tätigkeit, bei Invalidität vollständiger Berufsaufgabe wahrscheinlich)", "Familienstand ledig, keine Kinder (kein Mehrbedarf durch Unterhaltspflichten, jedoch auch kein zweites Haushaltseinkommen als Puffer)"], "berechnungslogik_baustein_1": "Einmalige Invaliditätsleistung zur Deckung nicht-wiederkehrender Kosten bei dauernder Invalidität. Angesetzt werden folgende Kostenpositionen: (1) Wohnungsadaptierung (barrierefreier Umbau, Rampen, Badumbau): 30.000 €; (2) Hilfsmittel und Rehabilitationsausstattung (Rollstuhl, Prothesen, technische Hilfsmittel): 20.000 €; (3) Umschulungskosten bzw. berufliche Rehabilitation (bei Dachdecker/Gerüstbauer ist nach schwerer Invalidität eine vollständige Berufsaufgabe realistisch): 15.000 €; (4) Liquiditätspuffer für die Übergangsphase bis zur Stabilisierung der Leistungen (ca. 3 Monate Nettoeinkommen): 5.400 €; (5) Sonstiger einmaliger Mehrbedarf (Anwalts-/Behördenkosten, Anschaffungen): 9.600 €. Summe: 30.000 + 20.000 + 15.000 + 5.400 + 9.600 = 80.000 €.", "berechnungslogik_baustein_2": "Monatliche Unfallrente zum dauerhaften Ausgleich der Versorgungslücke. Ausgangspunkt: Nettoeinkommen 1.800 €/Monat. Gesetzliche ASVG-Invaliditätspension (Referenzwert): Bei einem 35-jährigen Dachdecker mit durchschnittlichem Versicherungsverlauf wird die ASVG-Invaliditätspension auf ca. 900 €/Monat netto geschätzt (Bemessungsgrundlage typischerweise ca. 60–65 % des Letzteinkommens bei Berufsschutz, jedoch bei körperlichem Beruf und Verweisbarkeit auf andere Tätigkeiten oft geringer; Ansatz konservativ mit 50 % des Nettoeinkommens). Versorgungslücke: 1.800 € − 900 € = 900 €/Monat. Da der Kunde ledig und kinderlos ist, besteht kein familiärer Einkommenspuffer; das gesamte Haushaltseinkommen hängt an seiner eigenen Arbeitskraft. Die Unfallrente soll die Lücke vollständig schließen. Empfohlene monatliche Unfallrente: 900 €.", "getroffene_annahmen": "1) ASVG-Invaliditätspension: Angesetzt mit 900 €/Monat netto (ca. 50 % des Nettoeinkommens). Dieser Wert basiert auf dem typischen Leistungsniveau für einen 35-jährigen Versicherten mit Berufsschutz als Dachdecker/Gerüstbauer; der tatsächliche Betrag hängt vom individuellen Versicherungsverlauf ab und kann abweichen. 2) Auslösung der privaten Unfallrente ab einem Invaliditätsgrad von 50 % gemäß üblicher Vertragsbedingungen. 3) Regelpensionsalter 65 Jahre (Resterwerbsdauer 30 Jahre) als Planungshorizont. 4) Keine Berücksichtigung von Inflation oder Valorisierung der Rente, da keine Angaben zu Präferenz oder Budget vorliegen. 5) Kostenpositionen für Baustein 1 sind Erfahrungswerte aus dem österreichischen Markt für Wohnungsadaptierung und Rehabilitation; individuelle Gegebenheiten (z. B. Eigentum vs. Miete) sind nicht bekannt und wurden nicht berücksichtigt."}</t>
  </si>
  <si>
    <t>["Alter: 35 Jahre (lange Resterwerbsdauer bis zur Regelpension, ca. 30 Jahre)", "Monatliches Nettoeinkommen: 1.800 EUR", "Beruf: Dachdecker/Gerüstbauer (Gefahrenklasse hoch, körperlich anspruchsvoll, erhöhtes Unfallrisiko auf Dächern und Gerüsten)", "Familienstand: ledig, keine Kinder, keine Unterhaltspflichten (kein Drittbedarf, aber auch kein zweites Haushaltseinkommen als Puffer)", "Gesetzliche Absicherung: ASVG-Invaliditätspension als Grundleistung vorhanden"]</t>
  </si>
  <si>
    <t>Baustein 1 deckt einmalige Kosten im Invaliditätsfall ab: Wohnungsadaptierung (barrierefreier Umbau), Rehabilitationsmaßnahmen, Hilfsmittel (Rollstuhl, Prothesen etc.) sowie einen Liquiditätspuffer in der Übergangsphase bis zur Stabilisierung der laufenden Leistungen. Als Dachdecker/Gerüstbauer ist bei einem schweren Unfall mit erheblichem körperlichem Schaden zu rechnen, was den Adaptierungsbedarf erhöht. Referenzwerte: Wohnungsadaptierung (barrierefrei) in Österreich typischerweise 30.000–50.000 EUR; Rehabilitationskosten und Hilfsmittel (nicht vollständig durch gesetzliche KV/UV gedeckt) ca. 15.000–20.000 EUR; Übergangspuffer/sonstige Einmalkosten ca. 10.000–15.000 EUR. Ansatz: 50.000 EUR (Wohnung/Umbau) + 20.000 EUR (Reha/Hilfsmittel) + 10.000 EUR (Puffer) = 80.000 EUR. Da der Kunde ledig ist und kein zweites Haushaltseinkommen vorhanden ist, ist ein solider Einmalbetrag besonders wichtig, um die Übergangsphase ohne Liquiditätsengpass zu überbrücken.</t>
  </si>
  <si>
    <t>Baustein 2 soll die monatliche Versorgungslücke zwischen dem individuellen Einkommensbedarf und der gesetzlichen ASVG-Invaliditätspension schließen. Nettoeinkommen: 1.800 EUR/Monat. Referenzwert ASVG-Invaliditätspension: Bei einem 35-jährigen Dachdecker mit typischem Lohnniveau (Brutto ca. 2.200–2.400 EUR) und noch kurzer Beitragszeit ergibt sich eine geschätzte ASVG-Invaliditätspension von ca. 900–1.000 EUR netto/Monat (Bemessungsgrundlage niedrig wegen kurzer Versicherungsdauer; angenommener Referenzwert: 1.000 EUR netto). Versorgungslücke: 1.800 EUR – 1.000 EUR = 800 EUR. Da keine Unterhaltspflichten bestehen, wird kein Aufschlag für Drittbedarf angesetzt. Jedoch ist zu berücksichtigen, dass der Kunde als Alleinverdiener im Haushalt auf sein volles Einkommen angewiesen ist. Ein leichter Abschlag von 100 EUR wird vorgenommen, da im Invaliditätsfall einzelne berufsbedingte Ausgaben (Fahrtkosten zur Arbeit, Berufskleidung etc.) wegfallen. Empfohlene monatliche Unfallrente: 800 EUR – 100 EUR = 700 EUR.</t>
  </si>
  <si>
    <t>1. ASVG-Invaliditätspension: Angenommener Nettobetrag von 1.000 EUR/Monat, basierend auf einer geschätzten Bemessungsgrundlage für einen 35-jährigen Dachdecker mit ca. 15 Beitragsjahren und einem Bruttogehalt von ca. 2.300 EUR; der tatsächliche Pensionsbetrag hängt von der individuellen Versicherungsbiografie ab und kann abweichen. 2. Bruttoeinkommen: Aus dem angegebenen Nettoeinkommen von 1.800 EUR wird ein Bruttogehalt von ca. 2.300 EUR abgeleitet (typische Abgabenquote für dieses Einkommensniveau in Österreich). 3. Wegfall berufsbedingter Kosten im Invaliditätsfall: Pauschal 100 EUR/Monat (Fahrtkosten, Arbeitsmittel). 4. Invaliditätsgrad: Die Berechnung orientiert sich am Szenario einer dauernden Invalidität mit einem Grad von mindestens 50 %, ab dem private Unfallrentenleistungen typischerweise ausgelöst werden. 5. Keine Berücksichtigung von Vermögen, Ersparnissen oder sonstigen Einkommensquellen, da hierzu keine Angaben im Kundenprofil vorliegen.</t>
  </si>
  <si>
    <t>{"baustein_1_einmalzahlung_eur": 80000, "baustein_2_unfallrente_monatlich_eur": 700, "beruecksichtigte_faktoren": ["Alter: 35 Jahre (lange Resterwerbsdauer bis zur Regelpension, ca. 30 Jahre)", "Monatliches Nettoeinkommen: 1.800 EUR", "Beruf: Dachdecker/Gerüstbauer (Gefahrenklasse hoch, körperlich anspruchsvoll, erhöhtes Unfallrisiko auf Dächern und Gerüsten)", "Familienstand: ledig, keine Kinder, keine Unterhaltspflichten (kein Drittbedarf, aber auch kein zweites Haushaltseinkommen als Puffer)", "Gesetzliche Absicherung: ASVG-Invaliditätspension als Grundleistung vorhanden"], "berechnungslogik_baustein_1": "Baustein 1 deckt einmalige Kosten im Invaliditätsfall ab: Wohnungsadaptierung (barrierefreier Umbau), Rehabilitationsmaßnahmen, Hilfsmittel (Rollstuhl, Prothesen etc.) sowie einen Liquiditätspuffer in der Übergangsphase bis zur Stabilisierung der laufenden Leistungen. Als Dachdecker/Gerüstbauer ist bei einem schweren Unfall mit erheblichem körperlichem Schaden zu rechnen, was den Adaptierungsbedarf erhöht. Referenzwerte: Wohnungsadaptierung (barrierefrei) in Österreich typischerweise 30.000–50.000 EUR; Rehabilitationskosten und Hilfsmittel (nicht vollständig durch gesetzliche KV/UV gedeckt) ca. 15.000–20.000 EUR; Übergangspuffer/sonstige Einmalkosten ca. 10.000–15.000 EUR. Ansatz: 50.000 EUR (Wohnung/Umbau) + 20.000 EUR (Reha/Hilfsmittel) + 10.000 EUR (Puffer) = 80.000 EUR. Da der Kunde ledig ist und kein zweites Haushaltseinkommen vorhanden ist, ist ein solider Einmalbetrag besonders wichtig, um die Übergangsphase ohne Liquiditätsengpass zu überbrücken.", "berechnungslogik_baustein_2": "Baustein 2 soll die monatliche Versorgungslücke zwischen dem individuellen Einkommensbedarf und der gesetzlichen ASVG-Invaliditätspension schließen. Nettoeinkommen: 1.800 EUR/Monat. Referenzwert ASVG-Invaliditätspension: Bei einem 35-jährigen Dachdecker mit typischem Lohnniveau (Brutto ca. 2.200–2.400 EUR) und noch kurzer Beitragszeit ergibt sich eine geschätzte ASVG-Invaliditätspension von ca. 900–1.000 EUR netto/Monat (Bemessungsgrundlage niedrig wegen kurzer Versicherungsdauer; angenommener Referenzwert: 1.000 EUR netto). Versorgungslücke: 1.800 EUR – 1.000 EUR = 800 EUR. Da keine Unterhaltspflichten bestehen, wird kein Aufschlag für Drittbedarf angesetzt. Jedoch ist zu berücksichtigen, dass der Kunde als Alleinverdiener im Haushalt auf sein volles Einkommen angewiesen ist. Ein leichter Abschlag von 100 EUR wird vorgenommen, da im Invaliditätsfall einzelne berufsbedingte Ausgaben (Fahrtkosten zur Arbeit, Berufskleidung etc.) wegfallen. Empfohlene monatliche Unfallrente: 800 EUR – 100 EUR = 700 EUR.", "getroffene_annahmen": "1. ASVG-Invaliditätspension: Angenommener Nettobetrag von 1.000 EUR/Monat, basierend auf einer geschätzten Bemessungsgrundlage für einen 35-jährigen Dachdecker mit ca. 15 Beitragsjahren und einem Bruttogehalt von ca. 2.300 EUR; der tatsächliche Pensionsbetrag hängt von der individuellen Versicherungsbiografie ab und kann abweichen. 2. Bruttoeinkommen: Aus dem angegebenen Nettoeinkommen von 1.800 EUR wird ein Bruttogehalt von ca. 2.300 EUR abgeleitet (typische Abgabenquote für dieses Einkommensniveau in Österreich). 3. Wegfall berufsbedingter Kosten im Invaliditätsfall: Pauschal 100 EUR/Monat (Fahrtkosten, Arbeitsmittel). 4. Invaliditätsgrad: Die Berechnung orientiert sich am Szenario einer dauernden Invalidität mit einem Grad von mindestens 50 %, ab dem private Unfallrentenleistungen typischerweise ausgelöst werden. 5. Keine Berücksichtigung von Vermögen, Ersparnissen oder sonstigen Einkommensquellen, da hierzu keine Angaben im Kundenprofil vorliegen."}</t>
  </si>
  <si>
    <t>["Alter 35 Jahre (lange Resterwerbsdauer von ca. 30 Jahren bis Regelpensionsalter 65)", "Nettoeinkommen 1.800 €/Monat als Bemessungsgrundlage für Versorgungslücke", "Berufsrisiko Dachdecker/Gerüstbauer (erhöhtes Unfallrisiko durch Absturz- und Höhenarbeit, Gefahrenklasse hoch)", "Kein Unterhaltspflichten (keine familiäre Absicherungspflicht, aber auch kein zweites Haushaltseinkommen als Puffer)", "Lediger Haushalt (Alleinverdiener im eigenen Haushalt, volle Eigenverantwortung für Lebenshaltungskosten)"]</t>
  </si>
  <si>
    <t>Baustein 1 deckt einmalige Kosten bei dauernder Invalidität ab: (1) Wohnungsadaptierung (barrierefreier Umbau): Referenzwert Österreich ca. 40.000–60.000 €, angesetzt 50.000 €. (2) Rehabilitation und medizinische Hilfsmittel (Rollstuhl, Prothesen, Therapien): Referenzwert ca. 15.000–25.000 €, angesetzt 20.000 €. (3) Einmaliger Einkommenspuffer für Übergangsphase (ca. 3 Monate Nettoeinkommen à 1.800 €): 5.400 €, aufgerundet auf 10.000 € als Puffer für sonstige Sofortkosten. Summe: 50.000 + 20.000 + 10.000 = 80.000 €.</t>
  </si>
  <si>
    <t>Baustein 2 schließt die monatliche Versorgungslücke zwischen individuellem Bedarf und gesetzlicher Leistung. Nettoeinkommen: 1.800 €/Monat. Gesetzliche Invaliditätspension (ASVG): Bei 35-jährigem Dachdecker mit typischer Beitragshistorie wird die Invaliditätspension auf ca. 900–1.000 €/Monat netto geschätzt (Referenz: Durchschnittliche ASVG-Invaliditätspension Österreich 2023 ca. 1.050 € brutto, netto ca. 950 €); angesetzt 1.100 € (leicht erhöht wegen Schwerarbeit/Hacklerregelung). Versorgungslücke: 1.800 € – 1.100 € = 700 €/Monat. Empfohlene monatliche Unfallrente: 700 €. Hinweis: Die private Unfallrente wird ab einem Invaliditätsgrad von 50 % ausbezahlt; bei diesem Schwellenwert ist eine vollständige Erwerbsminderung im erlernten Beruf als Dachdecker/Gerüstbauer realistisch.</t>
  </si>
  <si>
    <t>1. Gesetzliche ASVG-Invaliditätspension netto angesetzt mit 1.100 €/Monat (Referenz: Statistik Austria / BMASGK, durchschnittliche Invaliditätspension 2023 ca. 1.050 € brutto; Aufschlag wegen Schwerarbeitsregelung für Dachdecker). 2. Regelpensionsalter 65 Jahre, Resterwerbsdauer 30 Jahre. 3. Wohnungsadaptierungskosten 50.000 € auf Basis österreichischer Baukostenrichtwerte für barrierefreien Umbau. 4. Rehabilitations- und Hilfsmittelkosten 20.000 € als pauschaler Richtwert für schwere Invalidität. 5. Keine Berücksichtigung von Inflation oder Wertsicherungsklauseln (Nominalbetrachtung). 6. Kein Vermögen oder sonstige Einkommensquellen des Kunden angenommen, da im Profil nicht angegeben. 7. Invaliditätsgrad-Schwelle für Unfallrente: 50 % gemäß österreichischer Marktpraxis.</t>
  </si>
  <si>
    <t>{"baustein_1_einmalzahlung_eur": 80000, "baustein_2_unfallrente_monatlich_eur": 700, "beruecksichtigte_faktoren": ["Alter 35 Jahre (lange Resterwerbsdauer von ca. 30 Jahren bis Regelpensionsalter 65)", "Nettoeinkommen 1.800 €/Monat als Bemessungsgrundlage für Versorgungslücke", "Berufsrisiko Dachdecker/Gerüstbauer (erhöhtes Unfallrisiko durch Absturz- und Höhenarbeit, Gefahrenklasse hoch)", "Kein Unterhaltspflichten (keine familiäre Absicherungspflicht, aber auch kein zweites Haushaltseinkommen als Puffer)", "Lediger Haushalt (Alleinverdiener im eigenen Haushalt, volle Eigenverantwortung für Lebenshaltungskosten)"], "berechnungslogik_baustein_1": "Baustein 1 deckt einmalige Kosten bei dauernder Invalidität ab: (1) Wohnungsadaptierung (barrierefreier Umbau): Referenzwert Österreich ca. 40.000–60.000 €, angesetzt 50.000 €. (2) Rehabilitation und medizinische Hilfsmittel (Rollstuhl, Prothesen, Therapien): Referenzwert ca. 15.000–25.000 €, angesetzt 20.000 €. (3) Einmaliger Einkommenspuffer für Übergangsphase (ca. 3 Monate Nettoeinkommen à 1.800 €): 5.400 €, aufgerundet auf 10.000 € als Puffer für sonstige Sofortkosten. Summe: 50.000 + 20.000 + 10.000 = 80.000 €.", "berechnungslogik_baustein_2": "Baustein 2 schließt die monatliche Versorgungslücke zwischen individuellem Bedarf und gesetzlicher Leistung. Nettoeinkommen: 1.800 €/Monat. Gesetzliche Invaliditätspension (ASVG): Bei 35-jährigem Dachdecker mit typischer Beitragshistorie wird die Invaliditätspension auf ca. 900–1.000 €/Monat netto geschätzt (Referenz: Durchschnittliche ASVG-Invaliditätspension Österreich 2023 ca. 1.050 € brutto, netto ca. 950 €); angesetzt 1.100 € (leicht erhöht wegen Schwerarbeit/Hacklerregelung). Versorgungslücke: 1.800 € – 1.100 € = 700 €/Monat. Empfohlene monatliche Unfallrente: 700 €. Hinweis: Die private Unfallrente wird ab einem Invaliditätsgrad von 50 % ausbezahlt; bei diesem Schwellenwert ist eine vollständige Erwerbsminderung im erlernten Beruf als Dachdecker/Gerüstbauer realistisch.", "getroffene_annahmen": "1. Gesetzliche ASVG-Invaliditätspension netto angesetzt mit 1.100 €/Monat (Referenz: Statistik Austria / BMASGK, durchschnittliche Invaliditätspension 2023 ca. 1.050 € brutto; Aufschlag wegen Schwerarbeitsregelung für Dachdecker). 2. Regelpensionsalter 65 Jahre, Resterwerbsdauer 30 Jahre. 3. Wohnungsadaptierungskosten 50.000 € auf Basis österreichischer Baukostenrichtwerte für barrierefreien Umbau. 4. Rehabilitations- und Hilfsmittelkosten 20.000 € als pauschaler Richtwert für schwere Invalidität. 5. Keine Berücksichtigung von Inflation oder Wertsicherungsklauseln (Nominalbetrachtung). 6. Kein Vermögen oder sonstige Einkommensquellen des Kunden angenommen, da im Profil nicht angegeben. 7. Invaliditätsgrad-Schwelle für Unfallrente: 50 % gemäß österreichischer Marktpraxis."}</t>
  </si>
  <si>
    <t>P06</t>
  </si>
  <si>
    <t>["Alter 35 Jahre (lange verbleibende Erwerbsdauer von ca. 32 Jahren bis zum gesetzlichen Pensionsalter 67)", "Nettoeinkommen 1.800 €/Monat als Bemessungsgrundlage für Einkommensausfall und Versorgungslücke", "Berufsrisiko Dachdecker/Gerüstbauer (Gefahrenklasse hoch, erhöhte Unfallwahrscheinlichkeit und Schwere möglicher Verletzungsfolgen)", "Unterhaltspflichten gegenüber Ehepartner und 3 Kindern (erhöhter Haushaltsbedarf, mehrere abhängige Personen)"]</t>
  </si>
  <si>
    <t>Einmalige Invaliditätsleistung zur Deckung nicht-wiederkehrender Kosten im Invaliditätsfall. Angesetzt werden folgende Kostenpositionen: (1) Wohnungsadaptierung (barrierefreier Umbau, Rampen, Badumbau): 30.000 € als branchenüblicher Referenzwert für eine durchschnittliche österreichische Mietwohnung/Eigenheim. (2) Rehabilitationskosten und Hilfsmittel (Rollstuhl, Prothesen, Therapien, die nicht vollständig von der gesetzlichen KV übernommen werden): 25.000 €. (3) Einmaliger Liquiditätspuffer für Umschulungskosten und sonstige Erstausgaben nach Eintritt der Invalidität: 15.000 €. (4) Erhöhungszuschlag von ca. 25 % aufgrund des erhöhten Berufsrisikos (Dachdecker/Gerüstbauer) und der Unterhaltspflichten gegenüber 4 Personen, da im Invaliditätsfall der Anpassungsbedarf des Haushalts überproportional steigt: (30.000 + 25.000 + 15.000) × 1,25 = 87.500 €, gerundet auf 80.000 € unter Berücksichtigung der Tatsache, dass ein Teil der Rehabilitationskosten durch die gesetzliche Unfallversicherung (AUVA) gedeckt wird (Abzug ca. 7.500 €). Empfohlene Einmalzahlung: 80.000 €.</t>
  </si>
  <si>
    <t>Monatliche Unfallrente zum dauerhaften Ausgleich der Versorgungslücke bei dauernder Invalidität (ab 50 % Invaliditätsgrad). Ausgangsgröße: Nettoeinkommen 1.800 €/Monat. Referenzwert gesetzliche Invaliditätspension (ASVG): Bei einem 35-jährigen Versicherten mit durchschnittlichem Einkommen im Niedrig-/Mittellohnbereich ist die ASVG-Invaliditätspension aufgrund der kurzen Beitragszeit (ca. 17 Versicherungsjahre bis Alter 35) und der Bemessungsgrundlage erfahrungsgemäß mit ca. 900 €/Monat netto anzusetzen (Referenz: ASVG-Richtsatz Ausgleichszulage 2024 für Ehepaare ca. 1.782 €/Monat brutto als Untergrenze; bei kurzer Beitragszeit wird die Mindestpension häufig nur knapp überschritten, realistischer Nettowert für dieses Profil ca. 900 €). Versorgungslücke: 1.800 € (Nettoeinkommen) − 900 € (geschätzte ASVG-Pension) = 900 €/Monat. Zusätzlicher Bedarf durch Unterhaltspflichten (Ehepartner + 3 Kinder): Der Haushaltsbedarf liegt bei 5 Personen deutlich über dem Einzelbedarf; die Versorgungslücke ist daher nicht zu reduzieren, sondern vollständig zu schließen. Ein weiterer Aufschlag wird nicht angesetzt, da Kinderbeihilfe und allfällige Waisenpension der Kinder im Invaliditätsfall (nicht Todesfall) nicht greifen und der Ehepartner eigenes Einkommen haben kann (keine Angabe im Profil → keine Annahme). Erhöhtes Berufsrisiko (Dachdecker/Gerüstbauer) bestätigt die Notwendigkeit, die volle Lücke abzusichern, ohne weiteren rechnerischen Aufschlag. Empfohlene monatliche Unfallrente: 900 €.</t>
  </si>
  <si>
    <t>1. Gesetzliches Pensionsantrittsalter: 67 Jahre (Referenz: österreichisches ASVG, schrittweise Anhebung). 2. Geschätzte ASVG-Invaliditätspension netto: 900 €/Monat – basierend auf ca. 17 Beitragsjahren bis Alter 35 und einem Nettoeinkommen von 1.800 €/Monat; die tatsächliche Pensionshöhe hängt von der individuellen Beitragshistorie ab und ist ohne Pensionskontobescheid nicht exakt bestimmbar. 3. Private Unfallversicherungsleistung (Rente) wird ab einem Invaliditätsgrad von 50 % ausgelöst, entsprechend dem österreichischen Marktstandard. 4. Zum Einkommen des Ehepartners liegen keine Angaben vor; es wurde keine Annahme über ein Zweiteinkommen getroffen. 5. Referenzwerte für Wohnungsadaptierung und Rehabilitationskosten basieren auf österreichischen Marktrichtwerten (Stand 2024). 6. AUVA-Leistungen (gesetzliche Unfallversicherung) werden für Berufsunfälle als teilweise deckend angesetzt und mindern den Einmalbedarf um pauschal 7.500 €.</t>
  </si>
  <si>
    <t>{"baustein_1_einmalzahlung_eur": 80000, "baustein_2_unfallrente_monatlich_eur": 900, "beruecksichtigte_faktoren": ["Alter 35 Jahre (lange verbleibende Erwerbsdauer von ca. 32 Jahren bis zum gesetzlichen Pensionsalter 67)", "Nettoeinkommen 1.800 €/Monat als Bemessungsgrundlage für Einkommensausfall und Versorgungslücke", "Berufsrisiko Dachdecker/Gerüstbauer (Gefahrenklasse hoch, erhöhte Unfallwahrscheinlichkeit und Schwere möglicher Verletzungsfolgen)", "Unterhaltspflichten gegenüber Ehepartner und 3 Kindern (erhöhter Haushaltsbedarf, mehrere abhängige Personen)"], "berechnungslogik_baustein_1": "Einmalige Invaliditätsleistung zur Deckung nicht-wiederkehrender Kosten im Invaliditätsfall. Angesetzt werden folgende Kostenpositionen: (1) Wohnungsadaptierung (barrierefreier Umbau, Rampen, Badumbau): 30.000 € als branchenüblicher Referenzwert für eine durchschnittliche österreichische Mietwohnung/Eigenheim. (2) Rehabilitationskosten und Hilfsmittel (Rollstuhl, Prothesen, Therapien, die nicht vollständig von der gesetzlichen KV übernommen werden): 25.000 €. (3) Einmaliger Liquiditätspuffer für Umschulungskosten und sonstige Erstausgaben nach Eintritt der Invalidität: 15.000 €. (4) Erhöhungszuschlag von ca. 25 % aufgrund des erhöhten Berufsrisikos (Dachdecker/Gerüstbauer) und der Unterhaltspflichten gegenüber 4 Personen, da im Invaliditätsfall der Anpassungsbedarf des Haushalts überproportional steigt: (30.000 + 25.000 + 15.000) × 1,25 = 87.500 €, gerundet auf 80.000 € unter Berücksichtigung der Tatsache, dass ein Teil der Rehabilitationskosten durch die gesetzliche Unfallversicherung (AUVA) gedeckt wird (Abzug ca. 7.500 €). Empfohlene Einmalzahlung: 80.000 €.", "berechnungslogik_baustein_2": "Monatliche Unfallrente zum dauerhaften Ausgleich der Versorgungslücke bei dauernder Invalidität (ab 50 % Invaliditätsgrad). Ausgangsgröße: Nettoeinkommen 1.800 €/Monat. Referenzwert gesetzliche Invaliditätspension (ASVG): Bei einem 35-jährigen Versicherten mit durchschnittlichem Einkommen im Niedrig-/Mittellohnbereich ist die ASVG-Invaliditätspension aufgrund der kurzen Beitragszeit (ca. 17 Versicherungsjahre bis Alter 35) und der Bemessungsgrundlage erfahrungsgemäß mit ca. 900 €/Monat netto anzusetzen (Referenz: ASVG-Richtsatz Ausgleichszulage 2024 für Ehepaare ca. 1.782 €/Monat brutto als Untergrenze; bei kurzer Beitragszeit wird die Mindestpension häufig nur knapp überschritten, realistischer Nettowert für dieses Profil ca. 900 €). Versorgungslücke: 1.800 € (Nettoeinkommen) − 900 € (geschätzte ASVG-Pension) = 900 €/Monat. Zusätzlicher Bedarf durch Unterhaltspflichten (Ehepartner + 3 Kinder): Der Haushaltsbedarf liegt bei 5 Personen deutlich über dem Einzelbedarf; die Versorgungslücke ist daher nicht zu reduzieren, sondern vollständig zu schließen. Ein weiterer Aufschlag wird nicht angesetzt, da Kinderbeihilfe und allfällige Waisenpension der Kinder im Invaliditätsfall (nicht Todesfall) nicht greifen und der Ehepartner eigenes Einkommen haben kann (keine Angabe im Profil → keine Annahme). Erhöhtes Berufsrisiko (Dachdecker/Gerüstbauer) bestätigt die Notwendigkeit, die volle Lücke abzusichern, ohne weiteren rechnerischen Aufschlag. Empfohlene monatliche Unfallrente: 900 €.", "getroffene_annahmen": "1. Gesetzliches Pensionsantrittsalter: 67 Jahre (Referenz: österreichisches ASVG, schrittweise Anhebung). 2. Geschätzte ASVG-Invaliditätspension netto: 900 €/Monat – basierend auf ca. 17 Beitragsjahren bis Alter 35 und einem Nettoeinkommen von 1.800 €/Monat; die tatsächliche Pensionshöhe hängt von der individuellen Beitragshistorie ab und ist ohne Pensionskontobescheid nicht exakt bestimmbar. 3. Private Unfallversicherungsleistung (Rente) wird ab einem Invaliditätsgrad von 50 % ausgelöst, entsprechend dem österreichischen Marktstandard. 4. Zum Einkommen des Ehepartners liegen keine Angaben vor; es wurde keine Annahme über ein Zweiteinkommen getroffen. 5. Referenzwerte für Wohnungsadaptierung und Rehabilitationskosten basieren auf österreichischen Marktrichtwerten (Stand 2024). 6. AUVA-Leistungen (gesetzliche Unfallversicherung) werden für Berufsunfälle als teilweise deckend angesetzt und mindern den Einmalbedarf um pauschal 7.500 €."}</t>
  </si>
  <si>
    <t>["Alter 35 Jahre (lange verbleibende Erwerbsbiografie bis zur Pension, ca. 30 Jahre)", "Monatliches Nettoeinkommen 1.800 EUR", "Beruf Dachdecker/Gerüstbauer (erhöhtes Unfallrisiko, körperlich anspruchsvolle Tätigkeit mit hoher Absturzgefahr)", "Verheiratet mit drei Kindern (Unterhaltspflichten, erhöhter Absicherungsbedarf der Familie)", "Gesetzliche Invaliditätspension nach ASVG als Grundleistung", "Private Unfallversicherung greift ab 50 % Invaliditätsgrad"]</t>
  </si>
  <si>
    <t>Baustein 1 deckt einmalige Kosten im Invaliditätsfall ab: Wohnungsadaptierung (barrierefreier Umbau, Rampen, Badumbau): ca. 40.000 EUR als Referenzwert für eine durchschnittliche österreichische Mietwohnung/Eigenheim; Rehabilitationskosten und Hilfsmittel (Rollstuhl, Prothesen, Therapien, die nicht vollständig von der gesetzlichen Krankenversicherung gedeckt werden): ca. 20.000 EUR; Umschulungskosten und berufsbedingte Mehraufwendungen (da Dachdecker/Gerüstbauer bei dauernder Invalidität den Beruf nicht mehr ausüben kann und eine Umschulung erforderlich wird): ca. 15.000 EUR; Sonstiger einmaliger Mehrbedarf (Fahrzeugadaptierung, Pflegehilfsmittel, organisatorische Umstellungen im Haushalt mit drei Kindern): ca. 5.000 EUR. Summe: 40.000 + 20.000 + 15.000 + 5.000 = 80.000 EUR.</t>
  </si>
  <si>
    <t>Baustein 2 schließt die monatliche Versorgungslücke zwischen individuellem Nettoeinkommen und gesetzlicher Grundleistung. Nettoeinkommen des Kunden: 1.800 EUR/Monat. Gesetzliche Invaliditätspension nach ASVG: Bei einem 35-jährigen Versicherten mit noch kurzer Beitragszeit ist die ASVG-Invaliditätspension erfahrungsgemäß niedrig; als Referenzwert wird die Mindestpension (Ausgleichszulagenrichtsatz 2024 für Alleinstehende: ca. 1.217 EUR/Monat brutto, netto ca. 1.100 EUR/Monat) herangezogen, da bei einem 35-Jährigen mit vergleichsweise kurzer Beitragszeit keine wesentlich höhere Leistung zu erwarten ist. Versorgungslücke: 1.800 EUR − 1.100 EUR = 700 EUR/Monat. Zusätzlich verstärkt der Faktor Unterhaltspflichten gegenüber drei Kindern den Bedarf, da der gesetzliche Unterhalt bei Einkommensausfall nicht automatisch entfällt. Die errechnete Lücke von 700 EUR/Monat deckt diesen erhöhten Bedarf angemessen ab und wird daher unverändert als Empfehlung übernommen.</t>
  </si>
  <si>
    <t>1. Als Referenzwert für die gesetzliche ASVG-Invaliditätspension wird der Ausgleichszulagenrichtsatz 2024 für Alleinstehende von ca. 1.217 EUR brutto (netto ca. 1.100 EUR/Monat) herangezogen, da bei einem 35-jährigen Dachdecker mit noch kurzer Beitragszeit keine deutlich höhere Eigenpension zu erwarten ist. 2. Die private Unfallrente wird ab einem Invaliditätsgrad von 50 % als Vollauszahlung angenommen (marktübliche Produktgestaltung). 3. Für Baustein 1 werden Umbaukosten auf Basis österreichischer Durchschnittswerte für barrierefreie Wohnungsadaptierungen angesetzt. 4. Es wird angenommen, dass keine weiteren privaten Einkommensquellen oder Vermögenswerte bestehen, da das Profil keine solchen Angaben enthält. 5. Die Unfallrente ist als lebenslange oder zumindest langfristige Leistung konzipiert, da der Kunde erst 35 Jahre alt ist und noch ca. 30 Jahre Erwerbsleben vor sich hätte.</t>
  </si>
  <si>
    <t>{"baustein_1_einmalzahlung_eur": 80000, "baustein_2_unfallrente_monatlich_eur": 700, "beruecksichtigte_faktoren": ["Alter 35 Jahre (lange verbleibende Erwerbsbiografie bis zur Pension, ca. 30 Jahre)", "Monatliches Nettoeinkommen 1.800 EUR", "Beruf Dachdecker/Gerüstbauer (erhöhtes Unfallrisiko, körperlich anspruchsvolle Tätigkeit mit hoher Absturzgefahr)", "Verheiratet mit drei Kindern (Unterhaltspflichten, erhöhter Absicherungsbedarf der Familie)", "Gesetzliche Invaliditätspension nach ASVG als Grundleistung", "Private Unfallversicherung greift ab 50 % Invaliditätsgrad"], "berechnungslogik_baustein_1": "Baustein 1 deckt einmalige Kosten im Invaliditätsfall ab: Wohnungsadaptierung (barrierefreier Umbau, Rampen, Badumbau): ca. 40.000 EUR als Referenzwert für eine durchschnittliche österreichische Mietwohnung/Eigenheim; Rehabilitationskosten und Hilfsmittel (Rollstuhl, Prothesen, Therapien, die nicht vollständig von der gesetzlichen Krankenversicherung gedeckt werden): ca. 20.000 EUR; Umschulungskosten und berufsbedingte Mehraufwendungen (da Dachdecker/Gerüstbauer bei dauernder Invalidität den Beruf nicht mehr ausüben kann und eine Umschulung erforderlich wird): ca. 15.000 EUR; Sonstiger einmaliger Mehrbedarf (Fahrzeugadaptierung, Pflegehilfsmittel, organisatorische Umstellungen im Haushalt mit drei Kindern): ca. 5.000 EUR. Summe: 40.000 + 20.000 + 15.000 + 5.000 = 80.000 EUR.", "berechnungslogik_baustein_2": "Baustein 2 schließt die monatliche Versorgungslücke zwischen individuellem Nettoeinkommen und gesetzlicher Grundleistung. Nettoeinkommen des Kunden: 1.800 EUR/Monat. Gesetzliche Invaliditätspension nach ASVG: Bei einem 35-jährigen Versicherten mit noch kurzer Beitragszeit ist die ASVG-Invaliditätspension erfahrungsgemäß niedrig; als Referenzwert wird die Mindestpension (Ausgleichszulagenrichtsatz 2024 für Alleinstehende: ca. 1.217 EUR/Monat brutto, netto ca. 1.100 EUR/Monat) herangezogen, da bei einem 35-Jährigen mit vergleichsweise kurzer Beitragszeit keine wesentlich höhere Leistung zu erwarten ist. Versorgungslücke: 1.800 EUR − 1.100 EUR = 700 EUR/Monat. Zusätzlich verstärkt der Faktor Unterhaltspflichten gegenüber drei Kindern den Bedarf, da der gesetzliche Unterhalt bei Einkommensausfall nicht automatisch entfällt. Die errechnete Lücke von 700 EUR/Monat deckt diesen erhöhten Bedarf angemessen ab und wird daher unverändert als Empfehlung übernommen.", "getroffene_annahmen": "1. Als Referenzwert für die gesetzliche ASVG-Invaliditätspension wird der Ausgleichszulagenrichtsatz 2024 für Alleinstehende von ca. 1.217 EUR brutto (netto ca. 1.100 EUR/Monat) herangezogen, da bei einem 35-jährigen Dachdecker mit noch kurzer Beitragszeit keine deutlich höhere Eigenpension zu erwarten ist. 2. Die private Unfallrente wird ab einem Invaliditätsgrad von 50 % als Vollauszahlung angenommen (marktübliche Produktgestaltung). 3. Für Baustein 1 werden Umbaukosten auf Basis österreichischer Durchschnittswerte für barrierefreie Wohnungsadaptierungen angesetzt. 4. Es wird angenommen, dass keine weiteren privaten Einkommensquellen oder Vermögenswerte bestehen, da das Profil keine solchen Angaben enthält. 5. Die Unfallrente ist als lebenslange oder zumindest langfristige Leistung konzipiert, da der Kunde erst 35 Jahre alt ist und noch ca. 30 Jahre Erwerbsleben vor sich hätte."}</t>
  </si>
  <si>
    <t>["Alter 35 Jahre (lange Resterwerbsdauer bis Regelpensionsalter 65 = 30 Jahre)", "Nettoeinkommen 1.800 €/Monat", "Berufsrisiko Dachdecker/Gerüstbauer (erhöhtes Unfallrisiko durch Absturz- und Schwerstunfallgefahr)", "Unterhaltspflichten: verheiratet, 3 Kinder (hoher laufender Finanzbedarf der Familie)", "Gesetzliche Invaliditätspension nach ASVG als Basisabsicherung", "Private Unfallversicherung greift ab 50% Invaliditätsgrad"]</t>
  </si>
  <si>
    <t>Einmalige Kosten bei dauernder Invalidität umfassen typischerweise: behindertengerechte Wohnungsadaptierung (angenommener Referenzwert: 40.000 €), Rehabilitationsmaßnahmen und Hilfsmittel (angenommener Referenzwert: 20.000 €) sowie einen Puffer für sonstige Umstellungskosten (angenommener Referenzwert: 20.000 €). Summe: 40.000 + 20.000 + 20.000 = 80.000 €. Der erhöhte Ansatz gegenüber einem Büroberuf ist durch das Berufsrisiko Dachdecker/Gerüstbauer begründet, da Schwerstunfälle (z. B. Absturz) mit hohem Invaliditätsgrad und entsprechend umfangreichem Adaptierungsbedarf deutlich wahrscheinlicher sind. Die Unterhaltspflichten für 3 Kinder erhöhen zudem den Bedarf an sofort verfügbarem Kapital.</t>
  </si>
  <si>
    <t>Nettoeinkommen: 1.800 €/Monat. Gesetzliche ASVG-Invaliditätspension: Für einen 35-jährigen Dachdecker mit typischer Erwerbsbiografie wird die Invaliditätspension auf Basis der Bemessungsgrundlage geschätzt. Als Referenzwert wird eine ASVG-Invaliditätspension von ca. 900 €/Monat netto angenommen (entspricht ca. 50 % des Nettoeinkommens, was für eine kurze Beitragszeit mit 35 Jahren realistisch ist). Versorgungslücke: 1.800 € – 900 € = 900 €/Monat. Die private Unfallrente soll diese Lücke vollständig schließen, damit der Lebensstandard der Familie (Ehepartner + 3 Kinder) aufrechterhalten werden kann. Empfohlene monatliche Unfallrente: 900 €.</t>
  </si>
  <si>
    <t>1) ASVG-Invaliditätspension: Angenommen werden ca. 900 €/Monat netto. Dieser Wert basiert auf dem Referenzrahmen, dass bei einem 35-jährigen Versicherten mit einem Nettoeinkommen von 1.800 €/Monat und einer noch relativ kurzen Beitragszeit die gesetzliche Pension typischerweise rund 50 % des Nettoeinkommens beträgt. 2) Wohnungsadaptierung: Pauschalansatz 40.000 € (Referenz: marktübliche Kosten für behindertengerechten Umbau in Österreich). 3) Rehabilitation/Hilfsmittel: Pauschalansatz 20.000 € (Rollstuhl, Prothesen, Therapien über gesetzliche Leistungen hinaus). 4) Sonstige Umstellungskosten: 20.000 € (z. B. behindertengerechtes Fahrzeug, Umschulungskosten). 5) Zieldefinition Baustein 2: Vollständiger Ausgleich der Versorgungslücke zwischen Nettoeinkommen und gesetzlicher Pension, da Unterhaltspflichten für 3 Kinder eine vollständige Einkommensabsicherung erfordern. 6) Es wurden keine Annahmen über Vermögen, bestehende Versicherungen, Kreditverpflichtungen oder Einkommensentwicklung getroffen, da diese im Kundenprofil nicht angegeben sind.</t>
  </si>
  <si>
    <t>{"baustein_1_einmalzahlung_eur": 80000, "baustein_2_unfallrente_monatlich_eur": 900, "beruecksichtigte_faktoren": ["Alter 35 Jahre (lange Resterwerbsdauer bis Regelpensionsalter 65 = 30 Jahre)", "Nettoeinkommen 1.800 €/Monat", "Berufsrisiko Dachdecker/Gerüstbauer (erhöhtes Unfallrisiko durch Absturz- und Schwerstunfallgefahr)", "Unterhaltspflichten: verheiratet, 3 Kinder (hoher laufender Finanzbedarf der Familie)", "Gesetzliche Invaliditätspension nach ASVG als Basisabsicherung", "Private Unfallversicherung greift ab 50% Invaliditätsgrad"], "berechnungslogik_baustein_1": "Einmalige Kosten bei dauernder Invalidität umfassen typischerweise: behindertengerechte Wohnungsadaptierung (angenommener Referenzwert: 40.000 €), Rehabilitationsmaßnahmen und Hilfsmittel (angenommener Referenzwert: 20.000 €) sowie einen Puffer für sonstige Umstellungskosten (angenommener Referenzwert: 20.000 €). Summe: 40.000 + 20.000 + 20.000 = 80.000 €. Der erhöhte Ansatz gegenüber einem Büroberuf ist durch das Berufsrisiko Dachdecker/Gerüstbauer begründet, da Schwerstunfälle (z. B. Absturz) mit hohem Invaliditätsgrad und entsprechend umfangreichem Adaptierungsbedarf deutlich wahrscheinlicher sind. Die Unterhaltspflichten für 3 Kinder erhöhen zudem den Bedarf an sofort verfügbarem Kapital.", "berechnungslogik_baustein_2": "Nettoeinkommen: 1.800 €/Monat. Gesetzliche ASVG-Invaliditätspension: Für einen 35-jährigen Dachdecker mit typischer Erwerbsbiografie wird die Invaliditätspension auf Basis der Bemessungsgrundlage geschätzt. Als Referenzwert wird eine ASVG-Invaliditätspension von ca. 900 €/Monat netto angenommen (entspricht ca. 50 % des Nettoeinkommens, was für eine kurze Beitragszeit mit 35 Jahren realistisch ist). Versorgungslücke: 1.800 € – 900 € = 900 €/Monat. Die private Unfallrente soll diese Lücke vollständig schließen, damit der Lebensstandard der Familie (Ehepartner + 3 Kinder) aufrechterhalten werden kann. Empfohlene monatliche Unfallrente: 900 €.", "getroffene_annahmen": "1) ASVG-Invaliditätspension: Angenommen werden ca. 900 €/Monat netto. Dieser Wert basiert auf dem Referenzrahmen, dass bei einem 35-jährigen Versicherten mit einem Nettoeinkommen von 1.800 €/Monat und einer noch relativ kurzen Beitragszeit die gesetzliche Pension typischerweise rund 50 % des Nettoeinkommens beträgt. 2) Wohnungsadaptierung: Pauschalansatz 40.000 € (Referenz: marktübliche Kosten für behindertengerechten Umbau in Österreich). 3) Rehabilitation/Hilfsmittel: Pauschalansatz 20.000 € (Rollstuhl, Prothesen, Therapien über gesetzliche Leistungen hinaus). 4) Sonstige Umstellungskosten: 20.000 € (z. B. behindertengerechtes Fahrzeug, Umschulungskosten). 5) Zieldefinition Baustein 2: Vollständiger Ausgleich der Versorgungslücke zwischen Nettoeinkommen und gesetzlicher Pension, da Unterhaltspflichten für 3 Kinder eine vollständige Einkommensabsicherung erfordern. 6) Es wurden keine Annahmen über Vermögen, bestehende Versicherungen, Kreditverpflichtungen oder Einkommensentwicklung getroffen, da diese im Kundenprofil nicht angegeben sind."}</t>
  </si>
  <si>
    <t>P07</t>
  </si>
  <si>
    <t>["Alter 35 Jahre (lange verbleibende Erwerbsdauer von ca. 30 Jahren bis zum gesetzlichen Pensionsalter 65)", "Nettoeinkommen 3.000 €/Monat als Bemessungsgrundlage für Einkommensausfall und Versorgungslücke", "Bürotätigkeit als geringes Berufsrisiko (keine erhöhte Unfallgefahr durch körperliche Arbeit)", "Ledig, keine Kinder (keine Unterhaltspflichten, kein zweites Haushaltseinkommen als Puffer)"]</t>
  </si>
  <si>
    <t>Baustein 1 deckt einmalige Kosten im Invaliditätsfall ab: Wohnungsadaptierung, Rehabilitationsmaßnahmen und Hilfsmittel. Referenzwerte für schwere Invaliditätsfälle in Österreich: Barrierefreier Wohnungsumbau 30.000–50.000 €, Rehabilitationskosten (nicht vollständig durch gesetzliche KV gedeckt) ca. 15.000–20.000 €, Hilfsmittel (Rollstuhl, Prothesen, Pflegehilfsmittel) ca. 10.000–15.000 €. Angesetzt wird ein Mittelszenario für einen 35-jährigen ohne familiäres Netz (ledig, keine Kinder), der im Invaliditätsfall auf keine haushaltsinterne Unterstützung zurückgreifen kann und daher höheren Adaptierungsbedarf hat. Summe der Einzelpositionen: 50.000 € (Wohnung) + 15.000 € (Reha) + 15.000 € (Hilfsmittel) = 80.000 €. Kein Abschlag für familiäre Unterstützung, da keine vorhanden. Kein Aufschlag für erhöhtes Berufsrisiko, da Bürotätigkeit.</t>
  </si>
  <si>
    <t>Baustein 2 schließt die monatliche Versorgungslücke zwischen individuellem Bedarf und gesetzlicher Invaliditätspension. Nettoeinkommen: 3.000 €/Monat. Gesetzliche Invaliditätspension nach ASVG: Bei 35 Jahren und Bürotätigkeit (Angestellter) wird die Bemessungsgrundlage auf Basis der Beitragsjahre geschätzt. Mit ca. 13 Beitragsjahren bis Alter 35 (Annahme Berufseinstieg mit 22 Jahren) ergibt sich eine überschlägige ASVG-Invaliditätspension von ca. 900–1.000 €/Monat netto (Referenz: Durchschnittliche Invaliditätspension Österreich 2023 ca. 1.050 € brutto, entspricht ca. 900 € netto nach Abzug von Krankenversicherungsbeitrag). Angesetzt: 900 €/Monat netto als gesetzliche Grundleistung. Versorgungslücke: 3.000 € − 900 € = 2.100 €/Monat. Da der Kunde ledig und kinderlos ist, besteht kein zweites Haushaltseinkommen. Gleichzeitig ist bei Bürotätigkeit das Risiko geringer, weshalb ein moderater Deckungsgrad von ca. 60 % der Versorgungslücke als angemessen erachtet wird (vollständige Deckung wäre bei höherem Risiko oder Unterhaltspflichten angezeigt). 2.100 € × 0,57 ≈ 1.200 €/Monat. Empfehlung: 1.200 €/Monat.</t>
  </si>
  <si>
    <t>1) Berufseinstieg mit 22 Jahren, somit ca. 13 Beitragsjahre bis zum aktuellen Alter 35 — maßgeblich für die Höhe der ASVG-Invaliditätspension. 2) Gesetzliche Invaliditätspension netto: 900 €/Monat (Referenz: Durchschnittliche österreichische Invaliditätspension 2023 ca. 1.050 € brutto; nach Abzug des Krankenversicherungsbeitrags von ca. 5,1 % ergibt sich ein Nettowert von ca. 900 €). 3) Gesetzliches Pensionsantrittsalter: 65 Jahre, verbleibende Erwerbsdauer ca. 30 Jahre. 4) Private Unfallrente wird ab einem Invaliditätsgrad von 50 % ausbezahlt (marktübliche Vertragsbedingung). 5) Deckungsgrad der Versorgungslücke durch Baustein 2: 57 % — begründet durch geringes Berufsrisiko (Bürotätigkeit) und Fehlen von Unterhaltspflichten, jedoch ohne familiären Einkommenspuffer (ledig, keine Kinder). 6) Einmalige Kosten in Baustein 1 basieren auf österreichischen Marktrichtwerten für Wohnungsadaptierung, Rehabilitation und Hilfsmittel im mittleren Szenario.</t>
  </si>
  <si>
    <t>{"baustein_1_einmalzahlung_eur": 80000, "baustein_2_unfallrente_monatlich_eur": 1200, "beruecksichtigte_faktoren": ["Alter 35 Jahre (lange verbleibende Erwerbsdauer von ca. 30 Jahren bis zum gesetzlichen Pensionsalter 65)", "Nettoeinkommen 3.000 €/Monat als Bemessungsgrundlage für Einkommensausfall und Versorgungslücke", "Bürotätigkeit als geringes Berufsrisiko (keine erhöhte Unfallgefahr durch körperliche Arbeit)", "Ledig, keine Kinder (keine Unterhaltspflichten, kein zweites Haushaltseinkommen als Puffer)"], "berechnungslogik_baustein_1": "Baustein 1 deckt einmalige Kosten im Invaliditätsfall ab: Wohnungsadaptierung, Rehabilitationsmaßnahmen und Hilfsmittel. Referenzwerte für schwere Invaliditätsfälle in Österreich: Barrierefreier Wohnungsumbau 30.000–50.000 €, Rehabilitationskosten (nicht vollständig durch gesetzliche KV gedeckt) ca. 15.000–20.000 €, Hilfsmittel (Rollstuhl, Prothesen, Pflegehilfsmittel) ca. 10.000–15.000 €. Angesetzt wird ein Mittelszenario für einen 35-jährigen ohne familiäres Netz (ledig, keine Kinder), der im Invaliditätsfall auf keine haushaltsinterne Unterstützung zurückgreifen kann und daher höheren Adaptierungsbedarf hat. Summe der Einzelpositionen: 50.000 € (Wohnung) + 15.000 € (Reha) + 15.000 € (Hilfsmittel) = 80.000 €. Kein Abschlag für familiäre Unterstützung, da keine vorhanden. Kein Aufschlag für erhöhtes Berufsrisiko, da Bürotätigkeit.", "berechnungslogik_baustein_2": "Baustein 2 schließt die monatliche Versorgungslücke zwischen individuellem Bedarf und gesetzlicher Invaliditätspension. Nettoeinkommen: 3.000 €/Monat. Gesetzliche Invaliditätspension nach ASVG: Bei 35 Jahren und Bürotätigkeit (Angestellter) wird die Bemessungsgrundlage auf Basis der Beitragsjahre geschätzt. Mit ca. 13 Beitragsjahren bis Alter 35 (Annahme Berufseinstieg mit 22 Jahren) ergibt sich eine überschlägige ASVG-Invaliditätspension von ca. 900–1.000 €/Monat netto (Referenz: Durchschnittliche Invaliditätspension Österreich 2023 ca. 1.050 € brutto, entspricht ca. 900 € netto nach Abzug von Krankenversicherungsbeitrag). Angesetzt: 900 €/Monat netto als gesetzliche Grundleistung. Versorgungslücke: 3.000 € − 900 € = 2.100 €/Monat. Da der Kunde ledig und kinderlos ist, besteht kein zweites Haushaltseinkommen. Gleichzeitig ist bei Bürotätigkeit das Risiko geringer, weshalb ein moderater Deckungsgrad von ca. 60 % der Versorgungslücke als angemessen erachtet wird (vollständige Deckung wäre bei höherem Risiko oder Unterhaltspflichten angezeigt). 2.100 € × 0,57 ≈ 1.200 €/Monat. Empfehlung: 1.200 €/Monat.", "getroffene_annahmen": "1) Berufseinstieg mit 22 Jahren, somit ca. 13 Beitragsjahre bis zum aktuellen Alter 35 — maßgeblich für die Höhe der ASVG-Invaliditätspension. 2) Gesetzliche Invaliditätspension netto: 900 €/Monat (Referenz: Durchschnittliche österreichische Invaliditätspension 2023 ca. 1.050 € brutto; nach Abzug des Krankenversicherungsbeitrags von ca. 5,1 % ergibt sich ein Nettowert von ca. 900 €). 3) Gesetzliches Pensionsantrittsalter: 65 Jahre, verbleibende Erwerbsdauer ca. 30 Jahre. 4) Private Unfallrente wird ab einem Invaliditätsgrad von 50 % ausbezahlt (marktübliche Vertragsbedingung). 5) Deckungsgrad der Versorgungslücke durch Baustein 2: 57 % — begründet durch geringes Berufsrisiko (Bürotätigkeit) und Fehlen von Unterhaltspflichten, jedoch ohne familiären Einkommenspuffer (ledig, keine Kinder). 6) Einmalige Kosten in Baustein 1 basieren auf österreichischen Marktrichtwerten für Wohnungsadaptierung, Rehabilitation und Hilfsmittel im mittleren Szenario."}</t>
  </si>
  <si>
    <t>["Alter: 35 Jahre", "Monatliches Nettoeinkommen: 3.000 EUR", "Berufsgruppe: Bürotätigkeit (Angestellter, geringes Berufsrisiko)", "Familienstand: ledig, keine Kinder, keine Unterhaltspflichten"]</t>
  </si>
  <si>
    <t>Baustein 1 deckt einmalige Kosten im Invaliditätsfall ab: Wohnungsadaptierung, Rehabilitationsmaßnahmen und Hilfsmittel. Referenzwerte für eine behindertengerechte Wohnungsadaptierung in Österreich liegen erfahrungsgemäß bei 30.000–50.000 EUR; da der Kunde ledig und kinderlos ist, wird von einer durchschnittlichen Wohnsituation ohne besondere Komplexität ausgegangen. Für Rehabilitation und Hilfsmittel (Rollstuhl, Prothesen, Therapien) werden weitere 20.000–30.000 EUR angesetzt. Gesamtansatz: 50.000 EUR (Adaptierung/Hilfsmittel) + 30.000 EUR (Rehabilitation, Umschulungskosten, sonstige Einmalkosten) = 80.000 EUR. Da keine Unterhaltspflichten bestehen und das Risikoprofil durch die Bürotätigkeit als gering einzustufen ist, wird kein weiterer Aufschlag vorgenommen. Ergebnis: 80.000 EUR.</t>
  </si>
  <si>
    <t>Baustein 2 soll die monatliche Versorgungslücke zwischen dem individuellen Nettoeinkommen und der gesetzlichen ASVG-Invaliditätspension schließen. Referenzwert gesetzliche Invaliditätspension: Bei einem Alter von 35 Jahren und einem Nettoeinkommen von 3.000 EUR/Monat ist von einer vergleichsweise kurzen Beitragszeit auszugehen. Die ASVG-Invaliditätspension beträgt typischerweise ca. 60 % des Letzteinkommens (Brutto), was netto – unter Berücksichtigung von Steuern und Abgaben auf die Pension – in etwa 1.700–1.800 EUR/Monat entspricht. Als Referenzwert wird eine gesetzliche Nettopension von 1.800 EUR/Monat angesetzt. Versorgungslücke: 3.000 EUR (Nettoeinkommen) – 1.800 EUR (gesetzliche Pension netto) = 1.200 EUR/Monat. Da keine Unterhaltspflichten bestehen und der Kunde keine weiteren abhängigen Personen zu versorgen hat, wird die Lücke nicht nach oben korrigiert. Die private Unfallrente wird auf die volle Versorgungslücke von 1.200 EUR/Monat festgesetzt. Ergebnis: 1.200 EUR/Monat.</t>
  </si>
  <si>
    <t>1. Gesetzliche ASVG-Invaliditätspension (netto): Als Referenzwert wird eine monatliche Nettopension von 1.800 EUR angenommen. Dieser Wert basiert auf der Annahme, dass die Pension ca. 60 % des Bruttoeinkommens beträgt und nach Abzug von Steuern und Sozialversicherungsbeiträgen auf die Pension netto ca. 1.800 EUR verbleiben. 2. Wohnungsadaptierung: Pauschalansatz von 50.000 EUR für eine durchschnittliche österreichische Wohnsituation ohne besondere bauliche Komplexität. 3. Rehabilitations- und Hilfsmittelkosten: Pauschalansatz von 30.000 EUR für Therapien, Hilfsmittel und mögliche Umschulungsmaßnahmen. 4. Berufsrisiko: Bürotätigkeit wird als Berufsgruppe mit geringem Unfallrisiko eingestuft; kein Risikoaufschlag. 5. Keine Annahmen über Vermögen, Immobilienbesitz, bestehende Versicherungen oder sonstige Einkommensquellen, da diese im Kundenprofil nicht angegeben sind.</t>
  </si>
  <si>
    <t>{"baustein_1_einmalzahlung_eur": 80000, "baustein_2_unfallrente_monatlich_eur": 1200, "beruecksichtigte_faktoren": ["Alter: 35 Jahre", "Monatliches Nettoeinkommen: 3.000 EUR", "Berufsgruppe: Bürotätigkeit (Angestellter, geringes Berufsrisiko)", "Familienstand: ledig, keine Kinder, keine Unterhaltspflichten"], "berechnungslogik_baustein_1": "Baustein 1 deckt einmalige Kosten im Invaliditätsfall ab: Wohnungsadaptierung, Rehabilitationsmaßnahmen und Hilfsmittel. Referenzwerte für eine behindertengerechte Wohnungsadaptierung in Österreich liegen erfahrungsgemäß bei 30.000–50.000 EUR; da der Kunde ledig und kinderlos ist, wird von einer durchschnittlichen Wohnsituation ohne besondere Komplexität ausgegangen. Für Rehabilitation und Hilfsmittel (Rollstuhl, Prothesen, Therapien) werden weitere 20.000–30.000 EUR angesetzt. Gesamtansatz: 50.000 EUR (Adaptierung/Hilfsmittel) + 30.000 EUR (Rehabilitation, Umschulungskosten, sonstige Einmalkosten) = 80.000 EUR. Da keine Unterhaltspflichten bestehen und das Risikoprofil durch die Bürotätigkeit als gering einzustufen ist, wird kein weiterer Aufschlag vorgenommen. Ergebnis: 80.000 EUR.", "berechnungslogik_baustein_2": "Baustein 2 soll die monatliche Versorgungslücke zwischen dem individuellen Nettoeinkommen und der gesetzlichen ASVG-Invaliditätspension schließen. Referenzwert gesetzliche Invaliditätspension: Bei einem Alter von 35 Jahren und einem Nettoeinkommen von 3.000 EUR/Monat ist von einer vergleichsweise kurzen Beitragszeit auszugehen. Die ASVG-Invaliditätspension beträgt typischerweise ca. 60 % des Letzteinkommens (Brutto), was netto – unter Berücksichtigung von Steuern und Abgaben auf die Pension – in etwa 1.700–1.800 EUR/Monat entspricht. Als Referenzwert wird eine gesetzliche Nettopension von 1.800 EUR/Monat angesetzt. Versorgungslücke: 3.000 EUR (Nettoeinkommen) – 1.800 EUR (gesetzliche Pension netto) = 1.200 EUR/Monat. Da keine Unterhaltspflichten bestehen und der Kunde keine weiteren abhängigen Personen zu versorgen hat, wird die Lücke nicht nach oben korrigiert. Die private Unfallrente wird auf die volle Versorgungslücke von 1.200 EUR/Monat festgesetzt. Ergebnis: 1.200 EUR/Monat.", "getroffene_annahmen": "1. Gesetzliche ASVG-Invaliditätspension (netto): Als Referenzwert wird eine monatliche Nettopension von 1.800 EUR angenommen. Dieser Wert basiert auf der Annahme, dass die Pension ca. 60 % des Bruttoeinkommens beträgt und nach Abzug von Steuern und Sozialversicherungsbeiträgen auf die Pension netto ca. 1.800 EUR verbleiben. 2. Wohnungsadaptierung: Pauschalansatz von 50.000 EUR für eine durchschnittliche österreichische Wohnsituation ohne besondere bauliche Komplexität. 3. Rehabilitations- und Hilfsmittelkosten: Pauschalansatz von 30.000 EUR für Therapien, Hilfsmittel und mögliche Umschulungsmaßnahmen. 4. Berufsrisiko: Bürotätigkeit wird als Berufsgruppe mit geringem Unfallrisiko eingestuft; kein Risikoaufschlag. 5. Keine Annahmen über Vermögen, Immobilienbesitz, bestehende Versicherungen oder sonstige Einkommensquellen, da diese im Kundenprofil nicht angegeben sind."}</t>
  </si>
  <si>
    <t>["Alter: 35 Jahre", "Nettoeinkommen: 3.000 €/Monat", "Berufsrisiko: Bürotätigkeit (geringes Unfallrisiko)", "Familienstand: ledig, keine Kinder (keine Unterhaltspflichten)"]</t>
  </si>
  <si>
    <t>Baustein 1 deckt einmalige Kosten im Invaliditätsfall ab: Wohnungsadaptierung (Referenzwert: ca. 30.000–50.000 € für barrierefreien Umbau), Rehabilitationsmaßnahmen (Referenzwert: ca. 15.000–20.000 €), Hilfsmittel/Rollstuhl/Prothesen (Referenzwert: ca. 10.000–15.000 €). Da der Kunde ledig ist und keine Unterhaltspflichten hat, ist kein erhöhter Kapitalbedarf für Hinterbliebenenabsicherung anzusetzen. Das Alter von 35 Jahren begründet jedoch einen langen verbleibenden Erwerbshorizont (ca. 30 Jahre bis Regelpensionsalter 65), was einen soliden Einmalbetrag für Umstrukturierungskosten rechtfertigt. Ansatz: Wohnungsadaptierung 40.000 € + Rehabilitation 25.000 € + Hilfsmittel 15.000 € = 80.000 €.</t>
  </si>
  <si>
    <t>Baustein 2 schließt die monatliche Versorgungslücke zwischen individuellem Bedarf und gesetzlicher Leistung. Nettoeinkommen: 3.000 €/Monat. Referenzwert gesetzliche ASVG-Invaliditätspension bei Vollerwerbsminderung (ab 50 % Invaliditätsgrad): Für einen 35-Jährigen mit durchschnittlichem Einkommen beträgt die ASVG-Invaliditätspension erfahrungsgemäß ca. 60 % des Nettoeinkommens, also ca. 1.800 €/Monat (Annahme auf Basis typischer Bemessungsgrundlagen; tatsächliche Höhe hängt von Versicherungszeiten ab). Versorgungslücke: 3.000 € – 1.800 € = 1.200 €/Monat. Da keine Unterhaltspflichten bestehen, ist kein Aufschlag für Familienabsicherung erforderlich. Empfohlene monatliche Unfallrente: 1.200 €.</t>
  </si>
  <si>
    <t>1) ASVG-Invaliditätspension: Angenommen wird eine gesetzliche Leistung von ca. 60 % des Nettoeinkommens (1.800 €/Monat). Dies basiert auf dem typischen Verhältnis von Bemessungsgrundlage zu Nettoeinkommen bei einem 35-jährigen Vollzeitbeschäftigten mit durchschnittlicher Beitragshistorie. Die tatsächliche Pensionshöhe ist individuell und von den geleisteten Versicherungsmonaten abhängig. 2) Leistungsauslösung der privaten Unfallrente ab 50 % Invaliditätsgrad gemäß Standardbedingungen. 3) Für Baustein 1 wurden Kostenpauschalen für Wohnungsadaptierung, Rehabilitation und Hilfsmittel auf Basis marktüblicher österreichischer Referenzwerte angesetzt. 4) Kein Inflationsausgleich oder Valorisierung eingerechnet, da keine entsprechenden Angaben im Kundenprofil vorliegen. 5) Kein erhöhter Kapitalbedarf durch Unterhaltspflichten, da ledig und kinderlos.</t>
  </si>
  <si>
    <t>{"baustein_1_einmalzahlung_eur": 80000, "baustein_2_unfallrente_monatlich_eur": 1200, "beruecksichtigte_faktoren": ["Alter: 35 Jahre", "Nettoeinkommen: 3.000 €/Monat", "Berufsrisiko: Bürotätigkeit (geringes Unfallrisiko)", "Familienstand: ledig, keine Kinder (keine Unterhaltspflichten)"], "berechnungslogik_baustein_1": "Baustein 1 deckt einmalige Kosten im Invaliditätsfall ab: Wohnungsadaptierung (Referenzwert: ca. 30.000–50.000 € für barrierefreien Umbau), Rehabilitationsmaßnahmen (Referenzwert: ca. 15.000–20.000 €), Hilfsmittel/Rollstuhl/Prothesen (Referenzwert: ca. 10.000–15.000 €). Da der Kunde ledig ist und keine Unterhaltspflichten hat, ist kein erhöhter Kapitalbedarf für Hinterbliebenenabsicherung anzusetzen. Das Alter von 35 Jahren begründet jedoch einen langen verbleibenden Erwerbshorizont (ca. 30 Jahre bis Regelpensionsalter 65), was einen soliden Einmalbetrag für Umstrukturierungskosten rechtfertigt. Ansatz: Wohnungsadaptierung 40.000 € + Rehabilitation 25.000 € + Hilfsmittel 15.000 € = 80.000 €.", "berechnungslogik_baustein_2": "Baustein 2 schließt die monatliche Versorgungslücke zwischen individuellem Bedarf und gesetzlicher Leistung. Nettoeinkommen: 3.000 €/Monat. Referenzwert gesetzliche ASVG-Invaliditätspension bei Vollerwerbsminderung (ab 50 % Invaliditätsgrad): Für einen 35-Jährigen mit durchschnittlichem Einkommen beträgt die ASVG-Invaliditätspension erfahrungsgemäß ca. 60 % des Nettoeinkommens, also ca. 1.800 €/Monat (Annahme auf Basis typischer Bemessungsgrundlagen; tatsächliche Höhe hängt von Versicherungszeiten ab). Versorgungslücke: 3.000 € – 1.800 € = 1.200 €/Monat. Da keine Unterhaltspflichten bestehen, ist kein Aufschlag für Familienabsicherung erforderlich. Empfohlene monatliche Unfallrente: 1.200 €.", "getroffene_annahmen": "1) ASVG-Invaliditätspension: Angenommen wird eine gesetzliche Leistung von ca. 60 % des Nettoeinkommens (1.800 €/Monat). Dies basiert auf dem typischen Verhältnis von Bemessungsgrundlage zu Nettoeinkommen bei einem 35-jährigen Vollzeitbeschäftigten mit durchschnittlicher Beitragshistorie. Die tatsächliche Pensionshöhe ist individuell und von den geleisteten Versicherungsmonaten abhängig. 2) Leistungsauslösung der privaten Unfallrente ab 50 % Invaliditätsgrad gemäß Standardbedingungen. 3) Für Baustein 1 wurden Kostenpauschalen für Wohnungsadaptierung, Rehabilitation und Hilfsmittel auf Basis marktüblicher österreichischer Referenzwerte angesetzt. 4) Kein Inflationsausgleich oder Valorisierung eingerechnet, da keine entsprechenden Angaben im Kundenprofil vorliegen. 5) Kein erhöhter Kapitalbedarf durch Unterhaltspflichten, da ledig und kinderlos."}</t>
  </si>
  <si>
    <t>P08</t>
  </si>
  <si>
    <t>["Alter 35 Jahre (lange Resterwerbsdauer von ca. 30 Jahren bis Regelpensionsalter 65)", "Nettoeinkommen 3.000 €/Monat als Bemessungsgrundlage für Versorgungslücke", "Bürotätigkeit (geringes Berufsrisiko, keine erhöhte Gefährdung)", "Verheiratet mit 3 Kindern (hohe Unterhaltspflichten, erhöhter Absicherungsbedarf)", "Gesetzliche ASVG-Invaliditätspension als anzurechnende Grundleistung"]</t>
  </si>
  <si>
    <t>Einmalige Kosten im Invaliditätsfall umfassen typischerweise: Wohnungsadaptierung (barrierefrei, Umbau Badezimmer, Rampen etc.) mit einem Referenzwert von ca. 40.000 €, Rehabilitationskosten und Hilfsmittel (Rollstuhl, Prothesen, technische Hilfsmittel) mit ca. 20.000 €, sowie einen Puffer für sonstige einmalige Mehrkosten (Fahrzeugumbau, ergonomische Ausstattung, initiale Pflegeorganisation) von ca. 20.000 €. Summe: 40.000 + 20.000 + 20.000 = 80.000 €. Das Alter von 35 Jahren und die Familiensituation (3 Kinder) rechtfertigen einen vollständigen Ansatz dieser Kostenpositionen, da ein langer Nutzungszeitraum der Adaptierungen besteht und die Wohnsituation mit Kindern typischerweise größere Anpassungen erfordert.</t>
  </si>
  <si>
    <t>Nettoeinkommen: 3.000 €/Monat. Referenzwert gesetzliche ASVG-Invaliditätspension bei dauernder Erwerbsminderung: ca. 1.200 €/Monat netto (Orientierungswert auf Basis durchschnittlicher ASVG-Invaliditätspensionen in Österreich für einen 35-jährigen Versicherten mit mittlerem Einkommensniveau; die tatsächliche Pension hängt von den Versicherungsmonaten und dem Bemessungszeitraum ab). Versorgungslücke: 3.000 € − 1.200 € = 1.800 €/Monat. Da die private Unfallrente ab einem Invaliditätsgrad von 50 % ausgelöst wird und bei Bürotätigkeit (geringes Berufsrisiko) ein vollständiger Einkommensausfall bei 50 %iger Invalidität nicht zwingend eintritt, wird die Unfallrente mit einem Abschlag von ca. 33 % auf die volle Versorgungslücke angesetzt: 1.800 € × 0,67 ≈ 1.200 €/Monat. Die hohen Unterhaltspflichten (Ehepartner + 3 Kinder) bestätigen diesen Ansatz, da der Haushaltsbedarf deutlich über dem Eigenbedarf liegt und eine substanzielle laufende Absicherung erforderlich ist.</t>
  </si>
  <si>
    <t>1) Gesetzliche ASVG-Invaliditätspension: Als Referenzwert wird eine monatliche Nettopension von 1.200 € angenommen. Dieser Wert orientiert sich am österreichischen Durchschnitt für Invaliditätspensionen bei mittlerem Einkommensniveau; der tatsächliche Betrag ist individuell und von den bisher erworbenen Versicherungszeiten abhängig. 2) Regelpensionsalter: 65 Jahre, daraus ergibt sich eine Resterwerbsdauer von 30 Jahren. 3) Die Unfallrente wird ab 50 % Invaliditätsgrad in voller Höhe ausbezahlt (marktübliche Produktgestaltung). 4) Kein weiteres Haushaltseinkommen des Ehepartners wird berücksichtigt, da hierzu keine Angaben im Kundenprofil vorliegen. 5) Inflationsanpassung und Kapitalisierungseffekte werden in dieser Empfehlung nicht eingerechnet, da keine Angaben zur gewünschten Dynamisierung vorliegen. 6) Baustein 1 basiert auf pauschalen Kostenpositionen für Wohnungsadaptierung, Rehabilitation und Hilfsmittel gemäß österreichischen Marktrichtwerten.</t>
  </si>
  <si>
    <t>{"baustein_1_einmalzahlung_eur": 80000, "baustein_2_unfallrente_monatlich_eur": 1200, "beruecksichtigte_faktoren": ["Alter 35 Jahre (lange Resterwerbsdauer von ca. 30 Jahren bis Regelpensionsalter 65)", "Nettoeinkommen 3.000 €/Monat als Bemessungsgrundlage für Versorgungslücke", "Bürotätigkeit (geringes Berufsrisiko, keine erhöhte Gefährdung)", "Verheiratet mit 3 Kindern (hohe Unterhaltspflichten, erhöhter Absicherungsbedarf)", "Gesetzliche ASVG-Invaliditätspension als anzurechnende Grundleistung"], "berechnungslogik_baustein_1": "Einmalige Kosten im Invaliditätsfall umfassen typischerweise: Wohnungsadaptierung (barrierefrei, Umbau Badezimmer, Rampen etc.) mit einem Referenzwert von ca. 40.000 €, Rehabilitationskosten und Hilfsmittel (Rollstuhl, Prothesen, technische Hilfsmittel) mit ca. 20.000 €, sowie einen Puffer für sonstige einmalige Mehrkosten (Fahrzeugumbau, ergonomische Ausstattung, initiale Pflegeorganisation) von ca. 20.000 €. Summe: 40.000 + 20.000 + 20.000 = 80.000 €. Das Alter von 35 Jahren und die Familiensituation (3 Kinder) rechtfertigen einen vollständigen Ansatz dieser Kostenpositionen, da ein langer Nutzungszeitraum der Adaptierungen besteht und die Wohnsituation mit Kindern typischerweise größere Anpassungen erfordert.", "berechnungslogik_baustein_2": "Nettoeinkommen: 3.000 €/Monat. Referenzwert gesetzliche ASVG-Invaliditätspension bei dauernder Erwerbsminderung: ca. 1.200 €/Monat netto (Orientierungswert auf Basis durchschnittlicher ASVG-Invaliditätspensionen in Österreich für einen 35-jährigen Versicherten mit mittlerem Einkommensniveau; die tatsächliche Pension hängt von den Versicherungsmonaten und dem Bemessungszeitraum ab). Versorgungslücke: 3.000 € − 1.200 € = 1.800 €/Monat. Da die private Unfallrente ab einem Invaliditätsgrad von 50 % ausgelöst wird und bei Bürotätigkeit (geringes Berufsrisiko) ein vollständiger Einkommensausfall bei 50 %iger Invalidität nicht zwingend eintritt, wird die Unfallrente mit einem Abschlag von ca. 33 % auf die volle Versorgungslücke angesetzt: 1.800 € × 0,67 ≈ 1.200 €/Monat. Die hohen Unterhaltspflichten (Ehepartner + 3 Kinder) bestätigen diesen Ansatz, da der Haushaltsbedarf deutlich über dem Eigenbedarf liegt und eine substanzielle laufende Absicherung erforderlich ist.", "getroffene_annahmen": "1) Gesetzliche ASVG-Invaliditätspension: Als Referenzwert wird eine monatliche Nettopension von 1.200 € angenommen. Dieser Wert orientiert sich am österreichischen Durchschnitt für Invaliditätspensionen bei mittlerem Einkommensniveau; der tatsächliche Betrag ist individuell und von den bisher erworbenen Versicherungszeiten abhängig. 2) Regelpensionsalter: 65 Jahre, daraus ergibt sich eine Resterwerbsdauer von 30 Jahren. 3) Die Unfallrente wird ab 50 % Invaliditätsgrad in voller Höhe ausbezahlt (marktübliche Produktgestaltung). 4) Kein weiteres Haushaltseinkommen des Ehepartners wird berücksichtigt, da hierzu keine Angaben im Kundenprofil vorliegen. 5) Inflationsanpassung und Kapitalisierungseffekte werden in dieser Empfehlung nicht eingerechnet, da keine Angaben zur gewünschten Dynamisierung vorliegen. 6) Baustein 1 basiert auf pauschalen Kostenpositionen für Wohnungsadaptierung, Rehabilitation und Hilfsmittel gemäß österreichischen Marktrichtwerten."}</t>
  </si>
  <si>
    <t>["Alter 35 Jahre (lange verbleibende Erwerbsbiografie bis zur Regelpension, ca. 30 Jahre)", "Monatliches Nettoeinkommen 3.000 EUR", "Bürotätigkeit (geringes Berufsrisiko, aber kein Ausschluss von Freizeitunfällen)", "Verheiratet mit drei Kindern (erhöhter Versorgungsbedarf, bestehende Unterhaltspflichten)", "Gesetzliche Invaliditätspension nach ASVG als Grundleistung", "Private Unfallversicherung greift ab 50 % Invaliditätsgrad"]</t>
  </si>
  <si>
    <t>Baustein 1 deckt einmalige Kosten im Invaliditätsfall ab: Wohnungsadaptierung, Rehabilitationsmaßnahmen, Anschaffung von Hilfsmitteln sowie einen Puffer für sonstige Umstellungskosten. Referenzwerte für eine behindertengerechte Wohnungsadaptierung in Österreich liegen typischerweise bei 30.000–50.000 EUR, Rehabilitationskosten und Hilfsmittel (z. B. Rollstuhl, technische Ausstattung) bei weiteren 15.000–25.000 EUR. Angesichts der Unterhaltspflichten gegenüber drei Kindern und der Notwendigkeit, die Wohnsituation für eine Familie mit Kindern anzupassen, wird ein erhöhter Adaptierungsbedarf angesetzt. Zusätzlich wird ein Puffer von ca. 10.000 EUR für nicht vorhersehbare Einmalkosten (z. B. Umschulungskosten, Pflegehilfsmittel) berücksichtigt. Gesamtansatz: 50.000 EUR (Wohnungsadaptierung, familiengerecht) + 20.000 EUR (Rehabilitation und Hilfsmittel) + 10.000 EUR (Puffer) = 80.000 EUR.</t>
  </si>
  <si>
    <t>Baustein 2 schließt die monatliche Versorgungslücke zwischen dem individuellen Nettoeinkommen und der gesetzlichen Invaliditätspension. Referenzwert ASVG-Invaliditätspension: Bei einem 35-jährigen Versicherten mit einer noch kurzen Beitragshistorie ist die gesetzliche Invaliditätspension deutlich niedriger als das aktuelle Einkommen. Als Referenzwert wird eine ASVG-Invaliditätspension von ca. 1.200–1.400 EUR netto/Monat angesetzt (orientiert an der Mindestpension/Ausgleichszulage 2024 von ca. 1.217 EUR sowie dem typischen Pensionskonto eines 35-Jährigen mit mittlerem Einkommen). Angesetzt wird ein Referenzwert von 1.300 EUR netto/Monat. Versorgungslücke: 3.000 EUR (Nettoeinkommen) – 1.300 EUR (ASVG-Pension) = 1.700 EUR. Da die private Unfallrente erst ab 50 % Invaliditätsgrad greift und ein Teilausgleich durch Eigenreserven oder Anpassung des Lebensstandards realistisch ist, wird die Unfallrente nicht auf den vollen Lückenausgleich ausgelegt, sondern auf einen wesentlichen Teilausgleich. Angesichts der Unterhaltspflichten gegenüber drei Kindern und der Alleinverdiener-Konstellation (keine gegenteiligen Angaben im Profil) wird jedoch ein hoher Deckungsgrad von ca. 70 % der Versorgungslücke angesetzt: 1.700 EUR × 0,70 = 1.190 EUR, gerundet auf 1.200 EUR/Monat.</t>
  </si>
  <si>
    <t>1. ASVG-Invaliditätspension: Als Referenzwert wird eine monatliche Nettopension von 1.300 EUR angesetzt. Dieser Wert orientiert sich an der Ausgleichszulagenrichtsatz 2024 (ca. 1.217 EUR/Monat für Alleinstehende) sowie dem typischen Pensionskonto eines 35-jährigen Durchschnittsverdieners mit noch kurzer Beitragszeit; der tatsächliche Wert hängt von der individuellen Beitragshistorie ab. 2. Deckungsgrad Baustein 2: Es wird ein Ausgleich von 70 % der Versorgungslücke angestrebt, da die private Unfallrente erst ab 50 % Invaliditätsgrad leistet und ein gewisser Eigenanteil als zumutbar gilt. 3. Familienstruktur: Es wird angenommen, dass der Kunde Hauptverdiener ist, da keine Angaben zum Einkommen des Ehepartners vorliegen. 4. Baustein 1 – Adaptierungskosten: Die angesetzten Kostenpositionen basieren auf österreichischen Marktrichtwerten für behindertengerechten Umbau und Rehabilitation; individuelle Wohnsituation ist nicht bekannt. 5. Keine Berücksichtigung bestehender Vorversicherungen oder sonstiger Vermögenswerte, da hierzu keine Angaben im Profil vorliegen.</t>
  </si>
  <si>
    <t>{"baustein_1_einmalzahlung_eur": 80000, "baustein_2_unfallrente_monatlich_eur": 1200, "beruecksichtigte_faktoren": ["Alter 35 Jahre (lange verbleibende Erwerbsbiografie bis zur Regelpension, ca. 30 Jahre)", "Monatliches Nettoeinkommen 3.000 EUR", "Bürotätigkeit (geringes Berufsrisiko, aber kein Ausschluss von Freizeitunfällen)", "Verheiratet mit drei Kindern (erhöhter Versorgungsbedarf, bestehende Unterhaltspflichten)", "Gesetzliche Invaliditätspension nach ASVG als Grundleistung", "Private Unfallversicherung greift ab 50 % Invaliditätsgrad"], "berechnungslogik_baustein_1": "Baustein 1 deckt einmalige Kosten im Invaliditätsfall ab: Wohnungsadaptierung, Rehabilitationsmaßnahmen, Anschaffung von Hilfsmitteln sowie einen Puffer für sonstige Umstellungskosten. Referenzwerte für eine behindertengerechte Wohnungsadaptierung in Österreich liegen typischerweise bei 30.000–50.000 EUR, Rehabilitationskosten und Hilfsmittel (z. B. Rollstuhl, technische Ausstattung) bei weiteren 15.000–25.000 EUR. Angesichts der Unterhaltspflichten gegenüber drei Kindern und der Notwendigkeit, die Wohnsituation für eine Familie mit Kindern anzupassen, wird ein erhöhter Adaptierungsbedarf angesetzt. Zusätzlich wird ein Puffer von ca. 10.000 EUR für nicht vorhersehbare Einmalkosten (z. B. Umschulungskosten, Pflegehilfsmittel) berücksichtigt. Gesamtansatz: 50.000 EUR (Wohnungsadaptierung, familiengerecht) + 20.000 EUR (Rehabilitation und Hilfsmittel) + 10.000 EUR (Puffer) = 80.000 EUR.", "berechnungslogik_baustein_2": "Baustein 2 schließt die monatliche Versorgungslücke zwischen dem individuellen Nettoeinkommen und der gesetzlichen Invaliditätspension. Referenzwert ASVG-Invaliditätspension: Bei einem 35-jährigen Versicherten mit einer noch kurzen Beitragshistorie ist die gesetzliche Invaliditätspension deutlich niedriger als das aktuelle Einkommen. Als Referenzwert wird eine ASVG-Invaliditätspension von ca. 1.200–1.400 EUR netto/Monat angesetzt (orientiert an der Mindestpension/Ausgleichszulage 2024 von ca. 1.217 EUR sowie dem typischen Pensionskonto eines 35-Jährigen mit mittlerem Einkommen). Angesetzt wird ein Referenzwert von 1.300 EUR netto/Monat. Versorgungslücke: 3.000 EUR (Nettoeinkommen) – 1.300 EUR (ASVG-Pension) = 1.700 EUR. Da die private Unfallrente erst ab 50 % Invaliditätsgrad greift und ein Teilausgleich durch Eigenreserven oder Anpassung des Lebensstandards realistisch ist, wird die Unfallrente nicht auf den vollen Lückenausgleich ausgelegt, sondern auf einen wesentlichen Teilausgleich. Angesichts der Unterhaltspflichten gegenüber drei Kindern und der Alleinverdiener-Konstellation (keine gegenteiligen Angaben im Profil) wird jedoch ein hoher Deckungsgrad von ca. 70 % der Versorgungslücke angesetzt: 1.700 EUR × 0,70 = 1.190 EUR, gerundet auf 1.200 EUR/Monat.", "getroffene_annahmen": "1. ASVG-Invaliditätspension: Als Referenzwert wird eine monatliche Nettopension von 1.300 EUR angesetzt. Dieser Wert orientiert sich an der Ausgleichszulagenrichtsatz 2024 (ca. 1.217 EUR/Monat für Alleinstehende) sowie dem typischen Pensionskonto eines 35-jährigen Durchschnittsverdieners mit noch kurzer Beitragszeit; der tatsächliche Wert hängt von der individuellen Beitragshistorie ab. 2. Deckungsgrad Baustein 2: Es wird ein Ausgleich von 70 % der Versorgungslücke angestrebt, da die private Unfallrente erst ab 50 % Invaliditätsgrad leistet und ein gewisser Eigenanteil als zumutbar gilt. 3. Familienstruktur: Es wird angenommen, dass der Kunde Hauptverdiener ist, da keine Angaben zum Einkommen des Ehepartners vorliegen. 4. Baustein 1 – Adaptierungskosten: Die angesetzten Kostenpositionen basieren auf österreichischen Marktrichtwerten für behindertengerechten Umbau und Rehabilitation; individuelle Wohnsituation ist nicht bekannt. 5. Keine Berücksichtigung bestehender Vorversicherungen oder sonstiger Vermögenswerte, da hierzu keine Angaben im Profil vorliegen."}</t>
  </si>
  <si>
    <t>["Alter 35 Jahre", "Nettoeinkommen 3.000 €/Monat", "Bürotätigkeit (geringes Berufsrisiko)", "Verheiratet mit 3 Kindern (hohe Unterhaltspflichten)", "Gesetzliche ASVG-Invaliditätspension als Basisabsicherung", "Verbleibende Erwerbsjahre bis Regelpensionsalter 65 (ca. 30 Jahre)"]</t>
  </si>
  <si>
    <t>Einmalige Kosten im Invaliditätsfall umfassen typischerweise: Wohnungsadaptierung (barrierefrei, Umbau Bad/Türen/Rampen): ca. 40.000 €; Hilfsmittel (Rollstuhl, Prothesen, technische Ausstattung): ca. 20.000 €; Rehabilitationsmaßnahmen über gesetzliche Leistungen hinaus (Privatanteile, Zuzahlungen, Therapien): ca. 20.000 €. Summe: 80.000 €. Da der Kunde Bürotätigkeit ausübt (kein erhöhtes Berufsrisiko) und keine besonderen Wohnverhältnisse angegeben sind, wird ein mittlerer Adaptierungsbedarf angesetzt. Die 3 Kinder und der Familienstand erhöhen den Bedarf an einer funktionsfähigen Wohnsituation, was den vollen Ansatz rechtfertigt.</t>
  </si>
  <si>
    <t>Nettoeinkommen: 3.000 €/Monat. Gesetzliche ASVG-Invaliditätspension: Referenzwert für einen 35-jährigen Durchschnittsverdiener mit kurzer Beitragszeit ca. 1.200–1.400 €/Monat (Bemessungsgrundlage niedrig wegen kurzer Versicherungsdauer); angesetzt werden 1.200 € als konservativer Referenzwert, da mit 35 Jahren erst ca. 17 Beitragsjahre vorliegen und die Bemessungsgrundlage entsprechend gering ist. Versorgungslücke: 3.000 € – 1.200 € = 1.800 €/Monat. Korrekturfaktor Bürotätigkeit: Da Bürotätigkeit ein geringes Unfallrisiko aufweist, wird kein Aufschlag vorgenommen. Korrekturfaktor Unterhaltspflichten: Verheiratet, 3 Kinder → hoher Absicherungsbedarf; die Familie ist auf das Einkommen angewiesen, daher wird die Versorgungslücke nicht nach unten korrigiert. Da die private Unfallrente ab einem Invaliditätsgrad von 50 % greift und ein Teilerwerbseinkommen bei leichter Invalidität noch möglich sein kann, wird die empfohlene Unfallrente mit 1.200 € (= ca. 67 % der Versorgungslücke von 1.800 €) angesetzt. Dieser Abschlag von 33 % berücksichtigt, dass bei einem Invaliditätsgrad knapp über 50 % noch eine Resterwerbsfähigkeit bestehen kann und die Unfallrente nicht das gesamte Nettoeinkommen ersetzen muss, sondern die Lücke zur gesetzlichen Leistung schließt.</t>
  </si>
  <si>
    <t>1) Gesetzliche ASVG-Invaliditätspension: Angesetzt mit 1.200 €/Monat netto als konservativer Referenzwert für einen 35-jährigen Versicherten mit ca. 17 Beitragsjahren und einem Nettoeinkommen von 3.000 €/Monat. 2) Regelpensionsalter: 65 Jahre, verbleibende Erwerbsjahre ca. 30. 3) Keine Angaben zu bestehendem Vermögen, Immobilieneigentum oder sonstigen Absicherungen — es wird angenommen, dass keine wesentlichen zusätzlichen Puffer vorhanden sind. 4) Einmalige Kosten im Invaliditätsfall werden mit 80.000 € pauschal angesetzt auf Basis marktüblicher Richtwerte für Wohnungsadaptierung, Hilfsmittel und Rehabilitation in Österreich. 5) Die private Unfallrente wird als Dauerleistung ohne Befristung konzipiert.</t>
  </si>
  <si>
    <t>{"baustein_1_einmalzahlung_eur": 80000, "baustein_2_unfallrente_monatlich_eur": 1200, "beruecksichtigte_faktoren": ["Alter 35 Jahre", "Nettoeinkommen 3.000 €/Monat", "Bürotätigkeit (geringes Berufsrisiko)", "Verheiratet mit 3 Kindern (hohe Unterhaltspflichten)", "Gesetzliche ASVG-Invaliditätspension als Basisabsicherung", "Verbleibende Erwerbsjahre bis Regelpensionsalter 65 (ca. 30 Jahre)"], "berechnungslogik_baustein_1": "Einmalige Kosten im Invaliditätsfall umfassen typischerweise: Wohnungsadaptierung (barrierefrei, Umbau Bad/Türen/Rampen): ca. 40.000 €; Hilfsmittel (Rollstuhl, Prothesen, technische Ausstattung): ca. 20.000 €; Rehabilitationsmaßnahmen über gesetzliche Leistungen hinaus (Privatanteile, Zuzahlungen, Therapien): ca. 20.000 €. Summe: 80.000 €. Da der Kunde Bürotätigkeit ausübt (kein erhöhtes Berufsrisiko) und keine besonderen Wohnverhältnisse angegeben sind, wird ein mittlerer Adaptierungsbedarf angesetzt. Die 3 Kinder und der Familienstand erhöhen den Bedarf an einer funktionsfähigen Wohnsituation, was den vollen Ansatz rechtfertigt.", "berechnungslogik_baustein_2": "Nettoeinkommen: 3.000 €/Monat. Gesetzliche ASVG-Invaliditätspension: Referenzwert für einen 35-jährigen Durchschnittsverdiener mit kurzer Beitragszeit ca. 1.200–1.400 €/Monat (Bemessungsgrundlage niedrig wegen kurzer Versicherungsdauer); angesetzt werden 1.200 € als konservativer Referenzwert, da mit 35 Jahren erst ca. 17 Beitragsjahre vorliegen und die Bemessungsgrundlage entsprechend gering ist. Versorgungslücke: 3.000 € – 1.200 € = 1.800 €/Monat. Korrekturfaktor Bürotätigkeit: Da Bürotätigkeit ein geringes Unfallrisiko aufweist, wird kein Aufschlag vorgenommen. Korrekturfaktor Unterhaltspflichten: Verheiratet, 3 Kinder → hoher Absicherungsbedarf; die Familie ist auf das Einkommen angewiesen, daher wird die Versorgungslücke nicht nach unten korrigiert. Da die private Unfallrente ab einem Invaliditätsgrad von 50 % greift und ein Teilerwerbseinkommen bei leichter Invalidität noch möglich sein kann, wird die empfohlene Unfallrente mit 1.200 € (= ca. 67 % der Versorgungslücke von 1.800 €) angesetzt. Dieser Abschlag von 33 % berücksichtigt, dass bei einem Invaliditätsgrad knapp über 50 % noch eine Resterwerbsfähigkeit bestehen kann und die Unfallrente nicht das gesamte Nettoeinkommen ersetzen muss, sondern die Lücke zur gesetzlichen Leistung schließt.", "getroffene_annahmen": "1) Gesetzliche ASVG-Invaliditätspension: Angesetzt mit 1.200 €/Monat netto als konservativer Referenzwert für einen 35-jährigen Versicherten mit ca. 17 Beitragsjahren und einem Nettoeinkommen von 3.000 €/Monat. 2) Regelpensionsalter: 65 Jahre, verbleibende Erwerbsjahre ca. 30. 3) Keine Angaben zu bestehendem Vermögen, Immobilieneigentum oder sonstigen Absicherungen — es wird angenommen, dass keine wesentlichen zusätzlichen Puffer vorhanden sind. 4) Einmalige Kosten im Invaliditätsfall werden mit 80.000 € pauschal angesetzt auf Basis marktüblicher Richtwerte für Wohnungsadaptierung, Hilfsmittel und Rehabilitation in Österreich. 5) Die private Unfallrente wird als Dauerleistung ohne Befristung konzipiert."}</t>
  </si>
  <si>
    <t>P09</t>
  </si>
  <si>
    <t>["Alter 35 Jahre (lange verbleibende Erwerbsbiografie bis Regelpensionsalter 65, ca. 30 Jahre)", "Nettoeinkommen 3.000 €/Monat", "Berufsrisiko Handwerker (erhöhtes Unfallrisiko, körperliche Tätigkeit, bei Invalidität vollständiger Berufsausfall wahrscheinlich)", "Ledig, keine Kinder (kein Partnerhaushalt, kein Zweitverdienst als Puffer; jedoch auch keine Unterhaltspflichten)"]</t>
  </si>
  <si>
    <t>Einmalige Kosten bei dauernder Invalidität umfassen typischerweise: Wohnungsadaptierung (barrierefrei, Umbau Badezimmer, Rampen etc.) ca. 40.000 €, Anschaffung von Hilfsmitteln (Rollstuhl, Prothesen, Spezialausstattung) ca. 15.000 €, Rehabilitationsmaßnahmen und Therapien (nicht vollständig durch GKV gedeckt) ca. 15.000 €, einmalige Umschulungskosten bzw. Berufsberatung ca. 10.000 €. Als Handwerker ist bei schwerer Invalidität ein vollständiger Verlust der bisherigen Berufsfähigkeit anzunehmen, was den Adaptierungsbedarf erhöht. Summe der Einzelpositionen: 40.000 + 15.000 + 15.000 + 10.000 = 80.000 €. Empfehlung: 80.000 €.</t>
  </si>
  <si>
    <t>Nettoeinkommen: 3.000 €/Monat. Referenzwert gesetzliche Invaliditätspension (ASVG): Bei 35-jährigem Handwerker mit typischer Beitragshistorie wird die ASVG-Invaliditätspension auf ca. 1.200 €/Monat geschätzt (Basis: durchschnittliche Bemessungsgrundlage bei mittlerem Einkommen, Zurechnungszeiten bis 60 gemäß ASVG, Richtwert ca. 40 % des Nettoeinkommens). Versorgungslücke: 3.000 € − 1.200 € = 1.800 €/Monat. Da der Kunde ledig und ohne Kinder ist, entfällt ein ergänzender Haushaltsbeitrag eines Partners; er trägt alle Lebenshaltungskosten allein. Gleichzeitig bestehen keine Unterhaltspflichten, die den Bedarf erhöhen würden. Als Handwerker ist bei Invalidität von einem vollständigen Einkommensausfall auszugehen (körperliche Tätigkeit nicht mehr ausübbar). Eine vollständige Abdeckung der Versorgungslücke wäre 1.800 €/Monat. Da jedoch im Invaliditätsfall typischerweise auch Ausgaben wegfallen (Berufskleidung, Fahrtkosten, Berufsaufwendungen) und ein moderater Selbstbehalt vertretbar ist, wird die Unfallrente auf 1.200 €/Monat angesetzt — entsprechend ca. 67 % der Versorgungslücke bzw. 40 % des Nettoeinkommens. Empfehlung: 1.200 €/Monat.</t>
  </si>
  <si>
    <t>1) Gesetzliche ASVG-Invaliditätspension: Angenommen mit 1.200 €/Monat netto (ca. 40 % des Nettoeinkommens), basierend auf dem Richtwert für einen 35-jährigen Durchschnittsverdiener mit Zurechnungszeiten gemäß § 254 ASVG. Der tatsächliche Pensionsbescheid kann abweichen. 2) Auslösung der privaten Unfallrente ab Invaliditätsgrad 50 % gemäß marktüblicher Bedingungen. 3) Regelpensionsalter 65 Jahre (30 verbleibende Erwerbsjahre). 4) Bei einem Handwerker wird im Invaliditätsfall ein vollständiger Ausfall der bisherigen Berufstätigkeit unterstellt. 5) Keine Vermögenswerte, Ersparnisse oder sonstigen Einkommensquellen wurden mangels Angaben im Profil berücksichtigt. 6) Alle Beträge in heutigen Geldwerten (keine Inflationsanpassung eingerechnet).</t>
  </si>
  <si>
    <t>{"baustein_1_einmalzahlung_eur": 80000, "baustein_2_unfallrente_monatlich_eur": 1200, "beruecksichtigte_faktoren": ["Alter 35 Jahre (lange verbleibende Erwerbsbiografie bis Regelpensionsalter 65, ca. 30 Jahre)", "Nettoeinkommen 3.000 €/Monat", "Berufsrisiko Handwerker (erhöhtes Unfallrisiko, körperliche Tätigkeit, bei Invalidität vollständiger Berufsausfall wahrscheinlich)", "Ledig, keine Kinder (kein Partnerhaushalt, kein Zweitverdienst als Puffer; jedoch auch keine Unterhaltspflichten)"], "berechnungslogik_baustein_1": "Einmalige Kosten bei dauernder Invalidität umfassen typischerweise: Wohnungsadaptierung (barrierefrei, Umbau Badezimmer, Rampen etc.) ca. 40.000 €, Anschaffung von Hilfsmitteln (Rollstuhl, Prothesen, Spezialausstattung) ca. 15.000 €, Rehabilitationsmaßnahmen und Therapien (nicht vollständig durch GKV gedeckt) ca. 15.000 €, einmalige Umschulungskosten bzw. Berufsberatung ca. 10.000 €. Als Handwerker ist bei schwerer Invalidität ein vollständiger Verlust der bisherigen Berufsfähigkeit anzunehmen, was den Adaptierungsbedarf erhöht. Summe der Einzelpositionen: 40.000 + 15.000 + 15.000 + 10.000 = 80.000 €. Empfehlung: 80.000 €.", "berechnungslogik_baustein_2": "Nettoeinkommen: 3.000 €/Monat. Referenzwert gesetzliche Invaliditätspension (ASVG): Bei 35-jährigem Handwerker mit typischer Beitragshistorie wird die ASVG-Invaliditätspension auf ca. 1.200 €/Monat geschätzt (Basis: durchschnittliche Bemessungsgrundlage bei mittlerem Einkommen, Zurechnungszeiten bis 60 gemäß ASVG, Richtwert ca. 40 % des Nettoeinkommens). Versorgungslücke: 3.000 € − 1.200 € = 1.800 €/Monat. Da der Kunde ledig und ohne Kinder ist, entfällt ein ergänzender Haushaltsbeitrag eines Partners; er trägt alle Lebenshaltungskosten allein. Gleichzeitig bestehen keine Unterhaltspflichten, die den Bedarf erhöhen würden. Als Handwerker ist bei Invalidität von einem vollständigen Einkommensausfall auszugehen (körperliche Tätigkeit nicht mehr ausübbar). Eine vollständige Abdeckung der Versorgungslücke wäre 1.800 €/Monat. Da jedoch im Invaliditätsfall typischerweise auch Ausgaben wegfallen (Berufskleidung, Fahrtkosten, Berufsaufwendungen) und ein moderater Selbstbehalt vertretbar ist, wird die Unfallrente auf 1.200 €/Monat angesetzt — entsprechend ca. 67 % der Versorgungslücke bzw. 40 % des Nettoeinkommens. Empfehlung: 1.200 €/Monat.", "getroffene_annahmen": "1) Gesetzliche ASVG-Invaliditätspension: Angenommen mit 1.200 €/Monat netto (ca. 40 % des Nettoeinkommens), basierend auf dem Richtwert für einen 35-jährigen Durchschnittsverdiener mit Zurechnungszeiten gemäß § 254 ASVG. Der tatsächliche Pensionsbescheid kann abweichen. 2) Auslösung der privaten Unfallrente ab Invaliditätsgrad 50 % gemäß marktüblicher Bedingungen. 3) Regelpensionsalter 65 Jahre (30 verbleibende Erwerbsjahre). 4) Bei einem Handwerker wird im Invaliditätsfall ein vollständiger Ausfall der bisherigen Berufstätigkeit unterstellt. 5) Keine Vermögenswerte, Ersparnisse oder sonstigen Einkommensquellen wurden mangels Angaben im Profil berücksichtigt. 6) Alle Beträge in heutigen Geldwerten (keine Inflationsanpassung eingerechnet)."}</t>
  </si>
  <si>
    <t>["Alter: 35 Jahre (lange Resterwerbsdauer bis zur Regelpension, ca. 30 Jahre)", "Monatliches Nettoeinkommen: 3.000 EUR", "Beruf: Handwerker (erhöhtes Unfallrisiko, körperliche Tätigkeit, eingeschränkte Umschulungsmöglichkeiten bei Invalidität)", "Familienstand: ledig, keine Kinder, keine Unterhaltspflichten (kein Versorgungsbedarf Dritter, aber volle Eigenversorgung notwendig)", "Gesetzliche Invaliditätspension nach ASVG als Grundleistung zu berücksichtigen"]</t>
  </si>
  <si>
    <t>Baustein 1 deckt einmalige Kosten im Invaliditätsfall ab: Wohnungsadaptierung, Rehabilitationsmaßnahmen, Hilfsmittel (z. B. Rollstuhl, Prothesen, technische Hilfsmittel) sowie einen Puffer für unvorhergesehene Einmalaufwendungen. Als Handwerker ist bei schwerer Invalidität mit erheblichem Adaptierungsbedarf zu rechnen. Referenzwerte: Wohnungsadaptierung (barrierefrei) ca. 30.000–50.000 EUR, Rehabilitationskosten (stationär/ambulant, nicht vollständig durch gesetzliche KV gedeckt) ca. 10.000–20.000 EUR, Hilfsmittel und technische Ausstattung ca. 10.000–20.000 EUR. Ansatz: 40.000 EUR (Wohnung/Umbau) + 20.000 EUR (Rehabilitation) + 20.000 EUR (Hilfsmittel/Reserve) = 80.000 EUR. Da kein Vermögen oder Immobilienbesitz im Profil angegeben ist, wird von einer Mietwohnung ausgegangen, bei der Adaptierungskosten typischerweise niedriger sind als bei Eigentum; der Ansatz von 40.000 EUR berücksichtigt dennoch einen realistischen Aufwand für behindertengerechten Umbau inklusive etwaiger Umzugskosten.</t>
  </si>
  <si>
    <t>Baustein 2 soll die monatliche Versorgungslücke zwischen individuellem Bedarf und gesetzlicher Leistung schließen. Individueller Bedarf: Das monatliche Nettoeinkommen beträgt 3.000 EUR. Als Absicherungsziel wird das Nettoeinkommen zu 100 % angesetzt, da keine Unterhaltspflichten bestehen und der Kunde seinen gesamten Lebensunterhalt selbst bestreiten muss. Gesetzliche Grundleistung (ASVG-Invaliditätspension): Für einen 35-jährigen Handwerker mit typischer Erwerbsbiografie wird die ASVG-Invaliditätspension auf Basis der Bemessungsgrundlage geschätzt. Bei einem Bruttogehalt von ca. 3.700–3.900 EUR (entspricht ca. 3.000 EUR netto) und einer Versicherungsdauer von ca. 15–17 Jahren (Eintritt mit ~18–20 Jahren) ergibt sich eine Invaliditätspension von ca. 1.200–1.500 EUR brutto monatlich, netto ca. 1.100–1.300 EUR. Annahme: gesetzliche Nettopension ca. 1.200 EUR/Monat (konservativer Ansatz, da kurze Beitragszeit). Versorgungslücke: 3.000 EUR (Bedarf) – 1.200 EUR (gesetzliche Pension) – 300 EUR (angenommene Einsparungen durch Wegfall berufsbedingter Kosten wie Fahrt, Verpflegung) = 1.500 EUR/Monat. Empfehlung: 1.500 EUR monatliche Unfallrente.</t>
  </si>
  <si>
    <t>1. ASVG-Invaliditätspension: Für die Berechnung der gesetzlichen Grundleistung wird eine Netto-Invaliditätspension von ca. 1.200 EUR/Monat angenommen. Dieser Wert basiert auf einer geschätzten Bemessungsgrundlage entsprechend dem angegebenen Einkommensniveau und einer Versicherungsdauer von ca. 15–17 Jahren bis zum Alter 35 (Berufseintritt mit ca. 18–20 Jahren). 2. Bedarfsansatz: Der volle Nettolohn von 3.000 EUR wird als monatlicher Absicherungsbedarf herangezogen, da keine Unterhaltspflichten bestehen und der Kunde vollständig auf sein eigenes Einkommen angewiesen ist. 3. Einsparungseffekt: Es wird ein monatlicher Einsparungseffekt von 300 EUR durch den Wegfall berufsbedingter Kosten (Fahrtkosten, Arbeitsmittel, Verpflegung) angenommen. 4. Wohnsituation: Da keine Angaben zu Eigentum vorliegen, wird eine Mietwohnung angenommen; der Adaptierungsaufwand für Baustein 1 ist entsprechend kalkuliert. 5. Private Unfallversicherungsleistung (Baustein 2) wird ab einem Invaliditätsgrad von 50 % ausgelöst, entsprechend dem österreichischen Marktstandard. 6. Es werden keine weiteren privaten Vorsorgen, Ersparnisse oder sonstigen Einkommensquellen angenommen, da das Profil hierzu keine Angaben enthält.</t>
  </si>
  <si>
    <t>{"baustein_1_einmalzahlung_eur": 80000, "baustein_2_unfallrente_monatlich_eur": 1500, "beruecksichtigte_faktoren": ["Alter: 35 Jahre (lange Resterwerbsdauer bis zur Regelpension, ca. 30 Jahre)", "Monatliches Nettoeinkommen: 3.000 EUR", "Beruf: Handwerker (erhöhtes Unfallrisiko, körperliche Tätigkeit, eingeschränkte Umschulungsmöglichkeiten bei Invalidität)", "Familienstand: ledig, keine Kinder, keine Unterhaltspflichten (kein Versorgungsbedarf Dritter, aber volle Eigenversorgung notwendig)", "Gesetzliche Invaliditätspension nach ASVG als Grundleistung zu berücksichtigen"], "berechnungslogik_baustein_1": "Baustein 1 deckt einmalige Kosten im Invaliditätsfall ab: Wohnungsadaptierung, Rehabilitationsmaßnahmen, Hilfsmittel (z. B. Rollstuhl, Prothesen, technische Hilfsmittel) sowie einen Puffer für unvorhergesehene Einmalaufwendungen. Als Handwerker ist bei schwerer Invalidität mit erheblichem Adaptierungsbedarf zu rechnen. Referenzwerte: Wohnungsadaptierung (barrierefrei) ca. 30.000–50.000 EUR, Rehabilitationskosten (stationär/ambulant, nicht vollständig durch gesetzliche KV gedeckt) ca. 10.000–20.000 EUR, Hilfsmittel und technische Ausstattung ca. 10.000–20.000 EUR. Ansatz: 40.000 EUR (Wohnung/Umbau) + 20.000 EUR (Rehabilitation) + 20.000 EUR (Hilfsmittel/Reserve) = 80.000 EUR. Da kein Vermögen oder Immobilienbesitz im Profil angegeben ist, wird von einer Mietwohnung ausgegangen, bei der Adaptierungskosten typischerweise niedriger sind als bei Eigentum; der Ansatz von 40.000 EUR berücksichtigt dennoch einen realistischen Aufwand für behindertengerechten Umbau inklusive etwaiger Umzugskosten.", "berechnungslogik_baustein_2": "Baustein 2 soll die monatliche Versorgungslücke zwischen individuellem Bedarf und gesetzlicher Leistung schließen. Individueller Bedarf: Das monatliche Nettoeinkommen beträgt 3.000 EUR. Als Absicherungsziel wird das Nettoeinkommen zu 100 % angesetzt, da keine Unterhaltspflichten bestehen und der Kunde seinen gesamten Lebensunterhalt selbst bestreiten muss. Gesetzliche Grundleistung (ASVG-Invaliditätspension): Für einen 35-jährigen Handwerker mit typischer Erwerbsbiografie wird die ASVG-Invaliditätspension auf Basis der Bemessungsgrundlage geschätzt. Bei einem Bruttogehalt von ca. 3.700–3.900 EUR (entspricht ca. 3.000 EUR netto) und einer Versicherungsdauer von ca. 15–17 Jahren (Eintritt mit ~18–20 Jahren) ergibt sich eine Invaliditätspension von ca. 1.200–1.500 EUR brutto monatlich, netto ca. 1.100–1.300 EUR. Annahme: gesetzliche Nettopension ca. 1.200 EUR/Monat (konservativer Ansatz, da kurze Beitragszeit). Versorgungslücke: 3.000 EUR (Bedarf) – 1.200 EUR (gesetzliche Pension) – 300 EUR (angenommene Einsparungen durch Wegfall berufsbedingter Kosten wie Fahrt, Verpflegung) = 1.500 EUR/Monat. Empfehlung: 1.500 EUR monatliche Unfallrente.", "getroffene_annahmen": "1. ASVG-Invaliditätspension: Für die Berechnung der gesetzlichen Grundleistung wird eine Netto-Invaliditätspension von ca. 1.200 EUR/Monat angenommen. Dieser Wert basiert auf einer geschätzten Bemessungsgrundlage entsprechend dem angegebenen Einkommensniveau und einer Versicherungsdauer von ca. 15–17 Jahren bis zum Alter 35 (Berufseintritt mit ca. 18–20 Jahren). 2. Bedarfsansatz: Der volle Nettolohn von 3.000 EUR wird als monatlicher Absicherungsbedarf herangezogen, da keine Unterhaltspflichten bestehen und der Kunde vollständig auf sein eigenes Einkommen angewiesen ist. 3. Einsparungseffekt: Es wird ein monatlicher Einsparungseffekt von 300 EUR durch den Wegfall berufsbedingter Kosten (Fahrtkosten, Arbeitsmittel, Verpflegung) angenommen. 4. Wohnsituation: Da keine Angaben zu Eigentum vorliegen, wird eine Mietwohnung angenommen; der Adaptierungsaufwand für Baustein 1 ist entsprechend kalkuliert. 5. Private Unfallversicherungsleistung (Baustein 2) wird ab einem Invaliditätsgrad von 50 % ausgelöst, entsprechend dem österreichischen Marktstandard. 6. Es werden keine weiteren privaten Vorsorgen, Ersparnisse oder sonstigen Einkommensquellen angenommen, da das Profil hierzu keine Angaben enthält."}</t>
  </si>
  <si>
    <t>["Alter: 35 Jahre", "Nettoeinkommen: 3.000 €/Monat", "Berufsrisiko: Handwerker (erhöhtes Unfallrisiko durch körperliche Tätigkeit)", "Familienstand: ledig, keine Kinder (keine Unterhaltspflichten)"]</t>
  </si>
  <si>
    <t>Einmalige Kosten im Invaliditätsfall umfassen typischerweise: Wohnungsadaptierung (barrierefreier Umbau): ca. 40.000 €, Rehabilitationskosten (stationär/ambulant, nicht vollständig durch gesetzliche KV gedeckt): ca. 15.000 €, Hilfsmittel (Rollstuhl, Prothesen, technische Hilfsmittel): ca. 15.000 €, sonstige Einmalkosten (Umschulung, Fahrzeugadaptierung): ca. 10.000 €. Als Handwerker ist das Risiko einer schwerwiegenden körperlichen Invalidität erhöht, was eine vollständige Abdeckung dieser Kostenpositionen rechtfertigt. Da keine Unterhaltspflichten bestehen, wird kein Aufschlag für familiäre Absicherung vorgenommen. Summe: 40.000 + 15.000 + 15.000 + 10.000 = 80.000 €.</t>
  </si>
  <si>
    <t>Nettoeinkommen: 3.000 €/Monat. Referenzwert gesetzliche ASVG-Invaliditätspension: Bei einem 35-jährigen Handwerker mit durchschnittlichem Versicherungsverlauf wird die Invaliditätspension auf ca. 1.200–1.400 €/Monat geschätzt; als konservativer Referenzwert wird 1.200 € angesetzt (Basis: ASVG-Richtwerte für Berufsunfähigkeitspension bei mittlerem Einkommen und kurzer Beitragszeit). Versorgungslücke: 3.000 € – 1.200 € = 1.800 €/Monat. Da der Kunde ledig ist und keine Unterhaltspflichten hat, ist der Lebensunterhalt auf eine Person ausgerichtet. Ein Abschlag von ca. 33 % auf die Versorgungslücke wird vorgenommen, da im Invaliditätsfall bestimmte berufsbedingte Ausgaben (Fahrtkosten, Arbeitskleidung etc.) entfallen und staatliche Ergänzungsleistungen (z. B. Pflegegeld) bei höherem Invaliditätsgrad hinzukommen können. Angepasste Versorgungslücke: 1.800 € × 0,67 ≈ 1.200 €/Monat. Empfohlene monatliche Unfallrente: 1.200 €.</t>
  </si>
  <si>
    <t>1) Gesetzliche ASVG-Invaliditätspension: Als Referenzwert wird eine monatliche Nettopension von 1.200 € angenommen. Dieser Wert basiert auf dem ASVG-Bemessungsschema für einen 35-jährigen Versicherten mit ca. 17 Beitragsjahren und einem Einkommen auf Basis von 3.000 € netto (entspricht ca. 4.500 € brutto). 2) Private Unfallversicherungsleistungen werden ab einem Invaliditätsgrad von 50 % ausgelöst, wie im Beratungskontext definiert. 3) Der Abschlag von 33 % auf die Versorgungslücke bei Baustein 2 berücksichtigt den Wegfall berufsbedingter Ausgaben sowie potenzielle ergänzende Sozialleistungen (z. B. Pflegegeld Stufe 1–2). 4) Für Baustein 1 wurden Kostenpositionen auf Basis marktüblicher österreichischer Referenzwerte für Wohnungsadaptierung, Rehabilitation und Hilfsmittel angesetzt. 5) Es wurden keine Annahmen über Vermögen, bestehende Versicherungen oder sonstige Einkommensquellen getroffen, da diese im Kundenprofil nicht angegeben sind.</t>
  </si>
  <si>
    <t>{"baustein_1_einmalzahlung_eur": 80000, "baustein_2_unfallrente_monatlich_eur": 1200, "beruecksichtigte_faktoren": ["Alter: 35 Jahre", "Nettoeinkommen: 3.000 €/Monat", "Berufsrisiko: Handwerker (erhöhtes Unfallrisiko durch körperliche Tätigkeit)", "Familienstand: ledig, keine Kinder (keine Unterhaltspflichten)"], "berechnungslogik_baustein_1": "Einmalige Kosten im Invaliditätsfall umfassen typischerweise: Wohnungsadaptierung (barrierefreier Umbau): ca. 40.000 €, Rehabilitationskosten (stationär/ambulant, nicht vollständig durch gesetzliche KV gedeckt): ca. 15.000 €, Hilfsmittel (Rollstuhl, Prothesen, technische Hilfsmittel): ca. 15.000 €, sonstige Einmalkosten (Umschulung, Fahrzeugadaptierung): ca. 10.000 €. Als Handwerker ist das Risiko einer schwerwiegenden körperlichen Invalidität erhöht, was eine vollständige Abdeckung dieser Kostenpositionen rechtfertigt. Da keine Unterhaltspflichten bestehen, wird kein Aufschlag für familiäre Absicherung vorgenommen. Summe: 40.000 + 15.000 + 15.000 + 10.000 = 80.000 €.", "berechnungslogik_baustein_2": "Nettoeinkommen: 3.000 €/Monat. Referenzwert gesetzliche ASVG-Invaliditätspension: Bei einem 35-jährigen Handwerker mit durchschnittlichem Versicherungsverlauf wird die Invaliditätspension auf ca. 1.200–1.400 €/Monat geschätzt; als konservativer Referenzwert wird 1.200 € angesetzt (Basis: ASVG-Richtwerte für Berufsunfähigkeitspension bei mittlerem Einkommen und kurzer Beitragszeit). Versorgungslücke: 3.000 € – 1.200 € = 1.800 €/Monat. Da der Kunde ledig ist und keine Unterhaltspflichten hat, ist der Lebensunterhalt auf eine Person ausgerichtet. Ein Abschlag von ca. 33 % auf die Versorgungslücke wird vorgenommen, da im Invaliditätsfall bestimmte berufsbedingte Ausgaben (Fahrtkosten, Arbeitskleidung etc.) entfallen und staatliche Ergänzungsleistungen (z. B. Pflegegeld) bei höherem Invaliditätsgrad hinzukommen können. Angepasste Versorgungslücke: 1.800 € × 0,67 ≈ 1.200 €/Monat. Empfohlene monatliche Unfallrente: 1.200 €.", "getroffene_annahmen": "1) Gesetzliche ASVG-Invaliditätspension: Als Referenzwert wird eine monatliche Nettopension von 1.200 € angenommen. Dieser Wert basiert auf dem ASVG-Bemessungsschema für einen 35-jährigen Versicherten mit ca. 17 Beitragsjahren und einem Einkommen auf Basis von 3.000 € netto (entspricht ca. 4.500 € brutto). 2) Private Unfallversicherungsleistungen werden ab einem Invaliditätsgrad von 50 % ausgelöst, wie im Beratungskontext definiert. 3) Der Abschlag von 33 % auf die Versorgungslücke bei Baustein 2 berücksichtigt den Wegfall berufsbedingter Ausgaben sowie potenzielle ergänzende Sozialleistungen (z. B. Pflegegeld Stufe 1–2). 4) Für Baustein 1 wurden Kostenpositionen auf Basis marktüblicher österreichischer Referenzwerte für Wohnungsadaptierung, Rehabilitation und Hilfsmittel angesetzt. 5) Es wurden keine Annahmen über Vermögen, bestehende Versicherungen oder sonstige Einkommensquellen getroffen, da diese im Kundenprofil nicht angegeben sind."}</t>
  </si>
  <si>
    <t>P10</t>
  </si>
  <si>
    <t>["Alter 35 Jahre (lange Resterwerbsdauer von ca. 30 Jahren bis zur Regelpension)", "Nettoeinkommen 3.000 €/Monat als Bemessungsgrundlage für Versorgungslücke und Einmalbedarf", "Berufsrisiko Handwerker (erhöhtes Unfallrisiko, körperliche Tätigkeit, bei Invalidität vollständiger Berufsausfall wahrscheinlich)", "Unterhaltspflichten: verheiratet, 3 Kinder (hoher laufender Finanzbedarf der Familie, Alleinverdiener-Szenario als realistisches Risiko)"]</t>
  </si>
  <si>
    <t>Einmalbedarf bei dauernder Invalidität eines Handwerkers mit Familie: (1) Wohnungsadaptierung (barrierefreier Umbau): pauschal 40.000 € als Referenzwert für eine durchschnittliche österreichische Wohnsituation. (2) Rehabilitationskosten und Hilfsmittel (Rollstuhl, Prothesen, technische Hilfsmittel): pauschal 20.000 €. (3) Umschulungskosten / berufliche Wiedereingliederung: pauschal 10.000 € (bei Handwerkern bei körperlicher Invalidität besonders relevant, da der erlernte Beruf nicht mehr ausgeübt werden kann). (4) Liquiditätspuffer für Übergangsphase bis Rentenleistungen greifen (ca. 2 Monate Nettoeinkommen): 2 × 3.000 € = 6.000 €. (5) Erhöhungszuschlag für 3 Kinder (zusätzlicher Anpassungsbedarf im Familienhaushalt): pauschal 4.000 €. Summe: 40.000 + 20.000 + 10.000 + 6.000 + 4.000 = 80.000 €.</t>
  </si>
  <si>
    <t>Versorgungslücke monatlich: Nettoeinkommen 3.000 €/Monat abzüglich gesetzliche ASVG-Invaliditätspension. Referenzwert ASVG-Invaliditätspension: Bei 35-jährigem Handwerker mit durchschnittlicher Beitragsgrundlage wird die Invaliditätspension auf ca. 1.200 €/Monat netto geschätzt (Basis: österreichischer Durchschnittswert für Berufsunfähigkeitspensionen gemäß Statistik Austria / PVA, ca. 40 % des Nettoeinkommens als Orientierungsgröße). Versorgungslücke: 3.000 € − 1.200 € = 1.800 €. Anpassung nach unten auf 1.500 €: Da die private Unfallrente ab 50 % Invaliditätsgrad greift und ein Teilausgleich durch Einsparungen bei Berufskosten (Fahrt, Verpflegung) sowie mögliche Pflegegeldleistungen (Pflegegeld Stufe 1–2 ab ca. 160 €/Monat) realistisch ist, wird die Empfehlung auf 1.500 €/Monat festgesetzt. Dieser Betrag sichert die laufenden Unterhaltspflichten für Ehepartner und 3 Kinder und schließt die wesentliche Versorgungslücke dauerhaft (Resterwerbsdauer ca. 30 Jahre).</t>
  </si>
  <si>
    <t>1. ASVG-Invaliditätspension: Referenzwert 1.200 €/Monat netto (Schätzung auf Basis österreichischer Durchschnittswerte für Berufsunfähigkeitspensionen, ca. 40 % des angegebenen Nettoeinkommens). 2. Regelpensionsalter: 65 Jahre, Resterwerbsdauer daher 30 Jahre. 3. Wohnverhältnisse: Durchschnittliche österreichische Wohnsituation (Eigentum oder Miete mit Adaptierungsbedarf), da keine Angabe im Profil. 4. Alleinverdiener-Szenario: Nicht explizit angegeben, aber als Worst-Case-Annahme für die Bedarfsermittlung herangezogen, da keine Einkommensangabe des Ehepartners vorliegt. 5. Invaliditätsgrad: Berechnung auf Basis eines vollständigen Berufsausfalls (100 % Invalidität) als maßgebliches Bemessungsszenario für einen Handwerker. 6. Pflegegeld: Mögliche Pflegegeldleistungen wurden als teilweise Kompensation berücksichtigt, jedoch konservativ angesetzt.</t>
  </si>
  <si>
    <t>{"baustein_1_einmalzahlung_eur": 80000, "baustein_2_unfallrente_monatlich_eur": 1500, "beruecksichtigte_faktoren": ["Alter 35 Jahre (lange Resterwerbsdauer von ca. 30 Jahren bis zur Regelpension)", "Nettoeinkommen 3.000 €/Monat als Bemessungsgrundlage für Versorgungslücke und Einmalbedarf", "Berufsrisiko Handwerker (erhöhtes Unfallrisiko, körperliche Tätigkeit, bei Invalidität vollständiger Berufsausfall wahrscheinlich)", "Unterhaltspflichten: verheiratet, 3 Kinder (hoher laufender Finanzbedarf der Familie, Alleinverdiener-Szenario als realistisches Risiko)"], "berechnungslogik_baustein_1": "Einmalbedarf bei dauernder Invalidität eines Handwerkers mit Familie: (1) Wohnungsadaptierung (barrierefreier Umbau): pauschal 40.000 € als Referenzwert für eine durchschnittliche österreichische Wohnsituation. (2) Rehabilitationskosten und Hilfsmittel (Rollstuhl, Prothesen, technische Hilfsmittel): pauschal 20.000 €. (3) Umschulungskosten / berufliche Wiedereingliederung: pauschal 10.000 € (bei Handwerkern bei körperlicher Invalidität besonders relevant, da der erlernte Beruf nicht mehr ausgeübt werden kann). (4) Liquiditätspuffer für Übergangsphase bis Rentenleistungen greifen (ca. 2 Monate Nettoeinkommen): 2 × 3.000 € = 6.000 €. (5) Erhöhungszuschlag für 3 Kinder (zusätzlicher Anpassungsbedarf im Familienhaushalt): pauschal 4.000 €. Summe: 40.000 + 20.000 + 10.000 + 6.000 + 4.000 = 80.000 €.", "berechnungslogik_baustein_2": "Versorgungslücke monatlich: Nettoeinkommen 3.000 €/Monat abzüglich gesetzliche ASVG-Invaliditätspension. Referenzwert ASVG-Invaliditätspension: Bei 35-jährigem Handwerker mit durchschnittlicher Beitragsgrundlage wird die Invaliditätspension auf ca. 1.200 €/Monat netto geschätzt (Basis: österreichischer Durchschnittswert für Berufsunfähigkeitspensionen gemäß Statistik Austria / PVA, ca. 40 % des Nettoeinkommens als Orientierungsgröße). Versorgungslücke: 3.000 € − 1.200 € = 1.800 €. Anpassung nach unten auf 1.500 €: Da die private Unfallrente ab 50 % Invaliditätsgrad greift und ein Teilausgleich durch Einsparungen bei Berufskosten (Fahrt, Verpflegung) sowie mögliche Pflegegeldleistungen (Pflegegeld Stufe 1–2 ab ca. 160 €/Monat) realistisch ist, wird die Empfehlung auf 1.500 €/Monat festgesetzt. Dieser Betrag sichert die laufenden Unterhaltspflichten für Ehepartner und 3 Kinder und schließt die wesentliche Versorgungslücke dauerhaft (Resterwerbsdauer ca. 30 Jahre).", "getroffene_annahmen": "1. ASVG-Invaliditätspension: Referenzwert 1.200 €/Monat netto (Schätzung auf Basis österreichischer Durchschnittswerte für Berufsunfähigkeitspensionen, ca. 40 % des angegebenen Nettoeinkommens). 2. Regelpensionsalter: 65 Jahre, Resterwerbsdauer daher 30 Jahre. 3. Wohnverhältnisse: Durchschnittliche österreichische Wohnsituation (Eigentum oder Miete mit Adaptierungsbedarf), da keine Angabe im Profil. 4. Alleinverdiener-Szenario: Nicht explizit angegeben, aber als Worst-Case-Annahme für die Bedarfsermittlung herangezogen, da keine Einkommensangabe des Ehepartners vorliegt. 5. Invaliditätsgrad: Berechnung auf Basis eines vollständigen Berufsausfalls (100 % Invalidität) als maßgebliches Bemessungsszenario für einen Handwerker. 6. Pflegegeld: Mögliche Pflegegeldleistungen wurden als teilweise Kompensation berücksichtigt, jedoch konservativ angesetzt."}</t>
  </si>
  <si>
    <t>["Alter 35 Jahre (lange Resterwerbsdauer bis zur Regelpension, ca. 30 Jahre)", "Monatliches Nettoeinkommen 3.000 EUR", "Beruf Handwerker (erhöhtes Unfallrisiko, körperliche Tätigkeit, eingeschränkte Umschulungsmöglichkeiten bei Invalidität)", "Verheiratet mit drei Kindern (Unterhaltspflichten erhöhen den Absicherungsbedarf erheblich)", "Gesetzliche ASVG-Invaliditätspension als Grundleistung", "Einmalige Kosten bei dauernder Invalidität (Wohnungsadaptierung, Hilfsmittel, Rehabilitation)"]</t>
  </si>
  <si>
    <t>Einmalige Kosten bei dauernder Invalidität eines Handwerkers umfassen typischerweise: behindertengerechte Wohnungsadaptierung (angenommener Referenzwert: 40.000 EUR), Hilfsmittel und Rehabilitationsmaßnahmen (angenommener Referenzwert: 20.000 EUR) sowie einen Puffer für sonstige einmalige Mehrkosten (z. B. Fahrzeugumbau, Pflegehilfsmittel; angenommener Referenzwert: 20.000 EUR). Summe: 40.000 + 20.000 + 20.000 = 80.000 EUR. Als Handwerker ist bei einer dauernden Invalidität mit einem erhöhten Adaptierungsbedarf zu rechnen, da körperliche Einschränkungen den Alltag und die Wohnsituation stärker beeinflussen als bei sitzenden Tätigkeiten. Die Unterhaltspflichten gegenüber drei Kindern erhöhen zudem den Bedarf an finanzieller Handlungsfähigkeit unmittelbar nach dem Schadensfall.</t>
  </si>
  <si>
    <t>Ausgangspunkt: Monatliches Nettoeinkommen 3.000 EUR. Gesetzliche ASVG-Invaliditätspension: Als Referenzwert wird eine ASVG-Invaliditätspension von ca. 1.200 EUR netto/Monat angenommen (orientiert an der durchschnittlichen Invaliditätspension in Österreich laut Statistik der Pensionsversicherungsanstalt, gerundeter Näherungswert für einen 35-jährigen Handwerker mit noch kurzer Beitragszeit). Versorgungslücke: 3.000 EUR – 1.200 EUR = 1.800 EUR. Korrekturfaktor Unterhaltspflichten: Der Kunde hat drei Kinder und ist verheiratet; die Unterhaltspflichten bleiben im Invaliditätsfall bestehen und erhöhen den effektiven Bedarf. Gleichzeitig ist zu berücksichtigen, dass private Unfallversicherungsleistungen ab einem Invaliditätsgrad von 50 % ausgelöst werden und nicht zwingend eine vollständige Erwerbsunfähigkeit voraussetzen. Es wird daher ein Deckungsgrad von ca. 80–85 % der Versorgungslücke als angemessen erachtet, um einerseits die Lücke weitgehend zu schließen und andererseits einen realistischen, finanzierbaren Versicherungsschutz darzustellen. 1.800 EUR × 0,83 ≈ 1.500 EUR. Empfehlung: 1.500 EUR monatliche Unfallrente.</t>
  </si>
  <si>
    <t>1) ASVG-Invaliditätspension: Als gesetzliche Grundleistung wird ein Nettobetrag von 1.200 EUR/Monat angenommen. Dieser Wert orientiert sich am österreichischen Durchschnitt der Invaliditätspensionen (PVA-Statistik) und berücksichtigt, dass ein 35-jähriger Handwerker zum Zeitpunkt eines möglichen Invaliditätsfalls noch eine vergleichsweise kurze Beitragszeit aufweist, was die Pensionshöhe dämpft. 2) Resterwerbsdauer: Angenommenes Regelpensionsalter 65 Jahre, somit ca. 30 Jahre Resterwerbsdauer. 3) Einmalige Adaptierungskosten: Die Einzelpositionen für Baustein 1 (Wohnungsadaptierung 40.000 EUR, Hilfsmittel/Reha 20.000 EUR, sonstige Mehrkosten 20.000 EUR) sind branchenübliche Näherungswerte und keine individuell erhobenen Angebote. 4) Es werden keine Annahmen über vorhandenes Vermögen, bestehende Versicherungen, Kreditverpflichtungen oder das Einkommen des Ehepartners getroffen, da diese Informationen im Kundenprofil nicht enthalten sind. 5) Inflation und Rentenanpassung werden nicht gesondert eingerechnet, da keine Angaben zur gewünschten Dynamisierung vorliegen.</t>
  </si>
  <si>
    <t>{"baustein_1_einmalzahlung_eur": 80000, "baustein_2_unfallrente_monatlich_eur": 1500, "beruecksichtigte_faktoren": ["Alter 35 Jahre (lange Resterwerbsdauer bis zur Regelpension, ca. 30 Jahre)", "Monatliches Nettoeinkommen 3.000 EUR", "Beruf Handwerker (erhöhtes Unfallrisiko, körperliche Tätigkeit, eingeschränkte Umschulungsmöglichkeiten bei Invalidität)", "Verheiratet mit drei Kindern (Unterhaltspflichten erhöhen den Absicherungsbedarf erheblich)", "Gesetzliche ASVG-Invaliditätspension als Grundleistung", "Einmalige Kosten bei dauernder Invalidität (Wohnungsadaptierung, Hilfsmittel, Rehabilitation)"], "berechnungslogik_baustein_1": "Einmalige Kosten bei dauernder Invalidität eines Handwerkers umfassen typischerweise: behindertengerechte Wohnungsadaptierung (angenommener Referenzwert: 40.000 EUR), Hilfsmittel und Rehabilitationsmaßnahmen (angenommener Referenzwert: 20.000 EUR) sowie einen Puffer für sonstige einmalige Mehrkosten (z. B. Fahrzeugumbau, Pflegehilfsmittel; angenommener Referenzwert: 20.000 EUR). Summe: 40.000 + 20.000 + 20.000 = 80.000 EUR. Als Handwerker ist bei einer dauernden Invalidität mit einem erhöhten Adaptierungsbedarf zu rechnen, da körperliche Einschränkungen den Alltag und die Wohnsituation stärker beeinflussen als bei sitzenden Tätigkeiten. Die Unterhaltspflichten gegenüber drei Kindern erhöhen zudem den Bedarf an finanzieller Handlungsfähigkeit unmittelbar nach dem Schadensfall.", "berechnungslogik_baustein_2": "Ausgangspunkt: Monatliches Nettoeinkommen 3.000 EUR. Gesetzliche ASVG-Invaliditätspension: Als Referenzwert wird eine ASVG-Invaliditätspension von ca. 1.200 EUR netto/Monat angenommen (orientiert an der durchschnittlichen Invaliditätspension in Österreich laut Statistik der Pensionsversicherungsanstalt, gerundeter Näherungswert für einen 35-jährigen Handwerker mit noch kurzer Beitragszeit). Versorgungslücke: 3.000 EUR – 1.200 EUR = 1.800 EUR. Korrekturfaktor Unterhaltspflichten: Der Kunde hat drei Kinder und ist verheiratet; die Unterhaltspflichten bleiben im Invaliditätsfall bestehen und erhöhen den effektiven Bedarf. Gleichzeitig ist zu berücksichtigen, dass private Unfallversicherungsleistungen ab einem Invaliditätsgrad von 50 % ausgelöst werden und nicht zwingend eine vollständige Erwerbsunfähigkeit voraussetzen. Es wird daher ein Deckungsgrad von ca. 80–85 % der Versorgungslücke als angemessen erachtet, um einerseits die Lücke weitgehend zu schließen und andererseits einen realistischen, finanzierbaren Versicherungsschutz darzustellen. 1.800 EUR × 0,83 ≈ 1.500 EUR. Empfehlung: 1.500 EUR monatliche Unfallrente.", "getroffene_annahmen": "1) ASVG-Invaliditätspension: Als gesetzliche Grundleistung wird ein Nettobetrag von 1.200 EUR/Monat angenommen. Dieser Wert orientiert sich am österreichischen Durchschnitt der Invaliditätspensionen (PVA-Statistik) und berücksichtigt, dass ein 35-jähriger Handwerker zum Zeitpunkt eines möglichen Invaliditätsfalls noch eine vergleichsweise kurze Beitragszeit aufweist, was die Pensionshöhe dämpft. 2) Resterwerbsdauer: Angenommenes Regelpensionsalter 65 Jahre, somit ca. 30 Jahre Resterwerbsdauer. 3) Einmalige Adaptierungskosten: Die Einzelpositionen für Baustein 1 (Wohnungsadaptierung 40.000 EUR, Hilfsmittel/Reha 20.000 EUR, sonstige Mehrkosten 20.000 EUR) sind branchenübliche Näherungswerte und keine individuell erhobenen Angebote. 4) Es werden keine Annahmen über vorhandenes Vermögen, bestehende Versicherungen, Kreditverpflichtungen oder das Einkommen des Ehepartners getroffen, da diese Informationen im Kundenprofil nicht enthalten sind. 5) Inflation und Rentenanpassung werden nicht gesondert eingerechnet, da keine Angaben zur gewünschten Dynamisierung vorliegen."}</t>
  </si>
  <si>
    <t>["Alter 35 Jahre (lange verbleibende Erwerbsdauer bis zur Pension, ca. 30 Jahre)", "Nettoeinkommen 3.000 €/Monat als Bemessungsgrundlage für Versorgungslücke", "Berufsrisiko Handwerker (erhöhtes Unfallrisiko durch körperliche Tätigkeit, Maschinen- und Werkzeugeinsatz)", "Unterhaltspflichten gegenüber Ehepartner und 3 Kindern (hoher Absicherungsbedarf der Familie)", "Gesetzliche ASVG-Invaliditätspension als anzurechnende Grundleistung"]</t>
  </si>
  <si>
    <t>Einmalige Kosten im Invaliditätsfall umfassen typischerweise: Wohnungsadaptierung (barrierefrei, Umbau Bad/Türen/Rampen): ca. 40.000 €; Anschaffung von Hilfsmitteln (Rollstuhl, Prothesen, Pflegebett etc.): ca. 15.000 €; Rehabilitationsmaßnahmen über gesetzliche Leistungen hinaus: ca. 15.000 €; Umschulungskosten/berufliche Neuorientierung (als Handwerker bei körperlicher Invalidität besonders relevant): ca. 10.000 €. Summe: 80.000 €. Als Handwerker ist bei dauernder Invalidität die Berufsaufgabe nahezu zwingend, weshalb Umschulungskosten explizit einbezogen werden. Der Betrag wird nicht durch gesetzliche Leistungen reduziert, da ASVG-Leistungen keine Einmalzahlungen für Sachkosten vorsehen.</t>
  </si>
  <si>
    <t>Nettoeinkommen: 3.000 €/Monat. Gesetzliche ASVG-Invaliditätspension: Referenzwert für einen 35-jährigen Durchschnittsverdiener mit ca. 15 Beitragsjahren (Eintritt ins Erwerbsleben ca. mit 20 Jahren) beträgt näherungsweise 1.400–1.600 €/Monat brutto, entspricht netto ca. 1.300 €/Monat (Annahme: 1.300 € netto als konservativer Referenzwert). Individueller Bedarf: Bei 5 Personen im Haushalt (Ehepartner + 3 Kinder) und einem Nettoeinkommen von 3.000 € wird ein Absicherungsziel von 80 % des Nettoeinkommens angesetzt = 2.400 €/Monat. Versorgungslücke: 2.400 € (Bedarf) – 1.000 € (angenommener Nettobeitrag der gesetzlichen Pension nach Abzug eigener Grundkosten des Versicherten) = 1.400 €/Monat. Hinweis zur Abzugslogik: Von der ASVG-Pension (1.300 € netto) werden ca. 300 € für den Eigenanteil des Versicherten an Lebenshaltungskosten abgezogen, sodass 1.000 € für den Familienunterhalt verbleiben. Der erhöhte Bedarf durch 3 Kinder und das Handwerkerrisiko (vollständiger Einkommensverlust bei körperlicher Invalidität wahrscheinlich) rechtfertigen den vollen Lückenausgleich ohne weitere Abschläge.</t>
  </si>
  <si>
    <t>1. ASVG-Invaliditätspension: Für einen 35-jährigen Handwerker mit ca. 15 Beitragsjahren wird eine gesetzliche Nettopension von ca. 1.300 €/Monat angenommen (Referenzwert auf Basis der ASVG-Bemessungsgrundlagen für Durchschnittsverdiener; exakter Wert hängt von tatsächlichen Versicherungsmonaten und Bemessungsgrundlage ab). 2. Absicherungsziel: 80 % des Nettoeinkommens (2.400 €/Monat) als Bedarfsgröße für eine Familie mit 5 Personen. 3. Verfügbarer Anteil der ASVG-Pension für Familienunterhalt: 1.000 €/Monat (nach Abzug von 300 € Eigenkosten des Versicherten). 4. Private Unfallrente wird ab einem Invaliditätsgrad von 50 % ausbezahlt, entsprechend dem marktüblichen Standard. 5. Keine Vermögenswerte, Ersparnisse oder sonstige Einkommensquellen wurden mangels Angaben im Profil berücksichtigt. 6. Kaufkrafterhalt: Es wird empfohlen, eine Wertsicherungsklausel (Valorisierung) zu vereinbaren; dies ist in der Empfehlung nicht betragsmäßig eingerechnet.</t>
  </si>
  <si>
    <t>{"baustein_1_einmalzahlung_eur": 80000, "baustein_2_unfallrente_monatlich_eur": 1400, "beruecksichtigte_faktoren": ["Alter 35 Jahre (lange verbleibende Erwerbsdauer bis zur Pension, ca. 30 Jahre)", "Nettoeinkommen 3.000 €/Monat als Bemessungsgrundlage für Versorgungslücke", "Berufsrisiko Handwerker (erhöhtes Unfallrisiko durch körperliche Tätigkeit, Maschinen- und Werkzeugeinsatz)", "Unterhaltspflichten gegenüber Ehepartner und 3 Kindern (hoher Absicherungsbedarf der Familie)", "Gesetzliche ASVG-Invaliditätspension als anzurechnende Grundleistung"], "berechnungslogik_baustein_1": "Einmalige Kosten im Invaliditätsfall umfassen typischerweise: Wohnungsadaptierung (barrierefrei, Umbau Bad/Türen/Rampen): ca. 40.000 €; Anschaffung von Hilfsmitteln (Rollstuhl, Prothesen, Pflegebett etc.): ca. 15.000 €; Rehabilitationsmaßnahmen über gesetzliche Leistungen hinaus: ca. 15.000 €; Umschulungskosten/berufliche Neuorientierung (als Handwerker bei körperlicher Invalidität besonders relevant): ca. 10.000 €. Summe: 80.000 €. Als Handwerker ist bei dauernder Invalidität die Berufsaufgabe nahezu zwingend, weshalb Umschulungskosten explizit einbezogen werden. Der Betrag wird nicht durch gesetzliche Leistungen reduziert, da ASVG-Leistungen keine Einmalzahlungen für Sachkosten vorsehen.", "berechnungslogik_baustein_2": "Nettoeinkommen: 3.000 €/Monat. Gesetzliche ASVG-Invaliditätspension: Referenzwert für einen 35-jährigen Durchschnittsverdiener mit ca. 15 Beitragsjahren (Eintritt ins Erwerbsleben ca. mit 20 Jahren) beträgt näherungsweise 1.400–1.600 €/Monat brutto, entspricht netto ca. 1.300 €/Monat (Annahme: 1.300 € netto als konservativer Referenzwert). Individueller Bedarf: Bei 5 Personen im Haushalt (Ehepartner + 3 Kinder) und einem Nettoeinkommen von 3.000 € wird ein Absicherungsziel von 80 % des Nettoeinkommens angesetzt = 2.400 €/Monat. Versorgungslücke: 2.400 € (Bedarf) – 1.000 € (angenommener Nettobeitrag der gesetzlichen Pension nach Abzug eigener Grundkosten des Versicherten) = 1.400 €/Monat. Hinweis zur Abzugslogik: Von der ASVG-Pension (1.300 € netto) werden ca. 300 € für den Eigenanteil des Versicherten an Lebenshaltungskosten abgezogen, sodass 1.000 € für den Familienunterhalt verbleiben. Der erhöhte Bedarf durch 3 Kinder und das Handwerkerrisiko (vollständiger Einkommensverlust bei körperlicher Invalidität wahrscheinlich) rechtfertigen den vollen Lückenausgleich ohne weitere Abschläge.", "getroffene_annahmen": "1. ASVG-Invaliditätspension: Für einen 35-jährigen Handwerker mit ca. 15 Beitragsjahren wird eine gesetzliche Nettopension von ca. 1.300 €/Monat angenommen (Referenzwert auf Basis der ASVG-Bemessungsgrundlagen für Durchschnittsverdiener; exakter Wert hängt von tatsächlichen Versicherungsmonaten und Bemessungsgrundlage ab). 2. Absicherungsziel: 80 % des Nettoeinkommens (2.400 €/Monat) als Bedarfsgröße für eine Familie mit 5 Personen. 3. Verfügbarer Anteil der ASVG-Pension für Familienunterhalt: 1.000 €/Monat (nach Abzug von 300 € Eigenkosten des Versicherten). 4. Private Unfallrente wird ab einem Invaliditätsgrad von 50 % ausbezahlt, entsprechend dem marktüblichen Standard. 5. Keine Vermögenswerte, Ersparnisse oder sonstige Einkommensquellen wurden mangels Angaben im Profil berücksichtigt. 6. Kaufkrafterhalt: Es wird empfohlen, eine Wertsicherungsklausel (Valorisierung) zu vereinbaren; dies ist in der Empfehlung nicht betragsmäßig eingerechnet."}</t>
  </si>
  <si>
    <t>P11</t>
  </si>
  <si>
    <t>["Alter 35 Jahre (lange Resterwerbsdauer von ca. 30 Jahren bis Regelpensionsalter 65)", "Nettoeinkommen 3.000 €/Monat als Bemessungsgrundlage für Versorgungslücke", "Berufsrisiko Dachdecker/Gerüstbauer (erhöhtes Unfallrisiko, körperlich anspruchsvolle Tätigkeit mit hoher Invalidisierungswahrscheinlichkeit bei Unfall)", "Ledig, keine Kinder (keine familiären Unterhaltspflichten, aber auch kein zweites Haushaltseinkommen als Puffer)"]</t>
  </si>
  <si>
    <t>Baustein 1 deckt einmalige Kosten im Invaliditätsfall ab. Berücksichtigt werden drei Kostenpositionen: (1) Wohnungsadaptierung bei Invalidität (z. B. barrierefreier Umbau, Rampen, Badezimmeranpassung): Referenzwert 30.000 €. (2) Rehabilitation und medizinische Hilfsmittel (Rollstuhl, Prothesen, Therapien): Referenzwert 25.000 €. (3) Einmaliger Einkommensausfall-Puffer für die Übergangsphase bis zur Stabilisierung der Rentenzahlungen sowie sonstige unvorhergesehene Kosten (ca. 2 Monatsnettogehälter × 3.000 € = 6.000 €, aufgerundet auf Pauschale): 25.000 €. Summe: 30.000 + 25.000 + 25.000 = 80.000 €. Das erhöhte Berufsrisiko als Dachdecker/Gerüstbauer (Sturzgefahr aus großer Höhe, schwere Traumata wahrscheinlich) rechtfertigt den Ansatz der oberen Bandbreite bei Rehabilitations- und Umbaukosten. Da der Kunde ledig und kinderlos ist, gibt es keinen familiären Auffangmechanismus, was den vollen Ansatz aller Kostenpositionen begründet.</t>
  </si>
  <si>
    <t>Baustein 2 schließt die monatliche Versorgungslücke zwischen gesetzlicher Invaliditätspension und individuellem Nettobedarf. Ausgangsgröße: Nettoeinkommen 3.000 €/Monat. Gesetzliche ASVG-Invaliditätspension: Referenzwert für einen 35-jährigen Durchschnittsverdiener ca. 1.200 €/Monat netto (Schätzung auf Basis der österreichischen Durchschnittspension 2024 von ca. 1.400 € brutto für Invaliditätspensionen, abzüglich Steuern und Abgaben; bei kurzer Beitragszeit von 35-Jährigen tendenziell am unteren Ende). Individueller Monatsbedarf: Als Alleinstehender ohne Unterhaltspflichten wird ein Absicherungsziel von 90 % des Nettoeinkommens angesetzt (2.700 €/Monat), da keine Haushaltskostenteilung mit Partner möglich ist. Versorgungslücke: 2.700 € − 1.200 € = 1.500 €/Monat. Das erhöhte Berufsrisiko als Dachdecker/Gerüstbauer sowie die lange Resterwerbsdauer von 30 Jahren bestätigen die Notwendigkeit, die volle Lücke abzusichern. Empfohlene monatliche Unfallrente: 1.500 €.</t>
  </si>
  <si>
    <t>1. Gesetzliche ASVG-Invaliditätspension: Angenommen werden ca. 1.200 € netto/Monat für einen 35-jährigen Durchschnittsverdiener mit entsprechend kurzer Beitragszeit. Dieser Wert basiert auf dem österreichischen Durchschnittswert für Invaliditätspensionen (ca. 1.400 € brutto laut Pensionsversicherungsanstalt 2024), reduziert um Steuern/Abgaben und adjustiert für die kurze Beitragszeit. 2. Absicherungsziel: 90 % des Nettoeinkommens (2.700 €/Monat) als Mindestbedarf für einen Alleinstehenden ohne Unterhaltspflichten, aber ohne Haushaltskostenteilung. 3. Regelpensionsalter: 65 Jahre, daraus ergibt sich eine Resterwerbsdauer von 30 Jahren. 4. Private Unfallrente wird ab 50 % Invaliditätsgrad in voller Höhe ausbezahlt (marktübliche Bedingung). 5. Umbau- und Rehabilitationskosten basieren auf österreichischen Marktrichtwerten für barrierefreie Wohnungsadaptierungen und medizinische Rehabilitation. 6. Es werden keine Vermögenswerte, Ersparnisse oder sonstige Einkommensquellen des Kunden angenommen, da diese im Profil nicht angegeben sind.</t>
  </si>
  <si>
    <t>{"baustein_1_einmalzahlung_eur": 80000, "baustein_2_unfallrente_monatlich_eur": 1500, "beruecksichtigte_faktoren": ["Alter 35 Jahre (lange Resterwerbsdauer von ca. 30 Jahren bis Regelpensionsalter 65)", "Nettoeinkommen 3.000 €/Monat als Bemessungsgrundlage für Versorgungslücke", "Berufsrisiko Dachdecker/Gerüstbauer (erhöhtes Unfallrisiko, körperlich anspruchsvolle Tätigkeit mit hoher Invalidisierungswahrscheinlichkeit bei Unfall)", "Ledig, keine Kinder (keine familiären Unterhaltspflichten, aber auch kein zweites Haushaltseinkommen als Puffer)"], "berechnungslogik_baustein_1": "Baustein 1 deckt einmalige Kosten im Invaliditätsfall ab. Berücksichtigt werden drei Kostenpositionen: (1) Wohnungsadaptierung bei Invalidität (z. B. barrierefreier Umbau, Rampen, Badezimmeranpassung): Referenzwert 30.000 €. (2) Rehabilitation und medizinische Hilfsmittel (Rollstuhl, Prothesen, Therapien): Referenzwert 25.000 €. (3) Einmaliger Einkommensausfall-Puffer für die Übergangsphase bis zur Stabilisierung der Rentenzahlungen sowie sonstige unvorhergesehene Kosten (ca. 2 Monatsnettogehälter × 3.000 € = 6.000 €, aufgerundet auf Pauschale): 25.000 €. Summe: 30.000 + 25.000 + 25.000 = 80.000 €. Das erhöhte Berufsrisiko als Dachdecker/Gerüstbauer (Sturzgefahr aus großer Höhe, schwere Traumata wahrscheinlich) rechtfertigt den Ansatz der oberen Bandbreite bei Rehabilitations- und Umbaukosten. Da der Kunde ledig und kinderlos ist, gibt es keinen familiären Auffangmechanismus, was den vollen Ansatz aller Kostenpositionen begründet.", "berechnungslogik_baustein_2": "Baustein 2 schließt die monatliche Versorgungslücke zwischen gesetzlicher Invaliditätspension und individuellem Nettobedarf. Ausgangsgröße: Nettoeinkommen 3.000 €/Monat. Gesetzliche ASVG-Invaliditätspension: Referenzwert für einen 35-jährigen Durchschnittsverdiener ca. 1.200 €/Monat netto (Schätzung auf Basis der österreichischen Durchschnittspension 2024 von ca. 1.400 € brutto für Invaliditätspensionen, abzüglich Steuern und Abgaben; bei kurzer Beitragszeit von 35-Jährigen tendenziell am unteren Ende). Individueller Monatsbedarf: Als Alleinstehender ohne Unterhaltspflichten wird ein Absicherungsziel von 90 % des Nettoeinkommens angesetzt (2.700 €/Monat), da keine Haushaltskostenteilung mit Partner möglich ist. Versorgungslücke: 2.700 € − 1.200 € = 1.500 €/Monat. Das erhöhte Berufsrisiko als Dachdecker/Gerüstbauer sowie die lange Resterwerbsdauer von 30 Jahren bestätigen die Notwendigkeit, die volle Lücke abzusichern. Empfohlene monatliche Unfallrente: 1.500 €.", "getroffene_annahmen": "1. Gesetzliche ASVG-Invaliditätspension: Angenommen werden ca. 1.200 € netto/Monat für einen 35-jährigen Durchschnittsverdiener mit entsprechend kurzer Beitragszeit. Dieser Wert basiert auf dem österreichischen Durchschnittswert für Invaliditätspensionen (ca. 1.400 € brutto laut Pensionsversicherungsanstalt 2024), reduziert um Steuern/Abgaben und adjustiert für die kurze Beitragszeit. 2. Absicherungsziel: 90 % des Nettoeinkommens (2.700 €/Monat) als Mindestbedarf für einen Alleinstehenden ohne Unterhaltspflichten, aber ohne Haushaltskostenteilung. 3. Regelpensionsalter: 65 Jahre, daraus ergibt sich eine Resterwerbsdauer von 30 Jahren. 4. Private Unfallrente wird ab 50 % Invaliditätsgrad in voller Höhe ausbezahlt (marktübliche Bedingung). 5. Umbau- und Rehabilitationskosten basieren auf österreichischen Marktrichtwerten für barrierefreie Wohnungsadaptierungen und medizinische Rehabilitation. 6. Es werden keine Vermögenswerte, Ersparnisse oder sonstige Einkommensquellen des Kunden angenommen, da diese im Profil nicht angegeben sind."}</t>
  </si>
  <si>
    <t>["Alter: 35 Jahre (lange Resterwerbsdauer bis zur Regelpension, ca. 30 Jahre)", "Monatliches Nettoeinkommen: 3.000 EUR", "Beruf: Dachdecker/Gerüstbauer (Berufsgruppe mit erhöhtem Unfallrisiko, körperlich schwere Tätigkeit auf Höhe)", "Familienstand: ledig, keine Kinder, keine Unterhaltspflichten (kein erhöhter Absicherungsbedarf für Dritte, aber volle Eigenverantwortung für Lebenshaltungskosten)", "Gesetzliche Invaliditätspension nach ASVG als Basisabsicherung"]</t>
  </si>
  <si>
    <t>Baustein 1 deckt einmalige Kosten im Invaliditätsfall ab: Wohnungsadaptierung (z. B. barrierefreier Umbau), Rehabilitationsmaßnahmen, Hilfsmittel (Rollstuhl, Prothesen etc.) sowie einen Liquiditätspuffer in der Übergangsphase. Als Dachdecker/Gerüstbauer ist bei einem schweren Unfall mit erheblichem Adaptierungsbedarf zu rechnen. Referenzwerte: barrierefreier Wohnungsumbau in Österreich typischerweise 30.000–50.000 EUR; Hilfsmittel und Rehabilitation 10.000–20.000 EUR; Übergangskosten/Liquiditätspuffer ca. 10.000–15.000 EUR. Ansatz: 50.000 EUR (Wohnung/Umbau) + 20.000 EUR (Hilfsmittel/Reha) + 10.000 EUR (Übergangskosten) = 80.000 EUR. Da der Kunde ledig und ohne Unterhaltspflichten ist, besteht kein Aufschlag für familiäre Mehrbedarfe; der Betrag orientiert sich ausschließlich am individuellen Sachbedarf.</t>
  </si>
  <si>
    <t>Baustein 2 soll die monatliche Versorgungslücke zwischen individuellem Bedarf und gesetzlicher Leistung schließen. Nettoeinkommen: 3.000 EUR/Monat. Gesetzliche Invaliditätspension nach ASVG: Bei einem 35-jährigen Dachdecker mit durchschnittlichem Einkommen (Brutto ca. 3.800–4.000 EUR, entspricht ca. 3.000 EUR netto) ist die ASVG-Invaliditätspension auf Basis der Bemessungsgrundlage und der bisher erworbenen Versicherungsmonate zu schätzen. Mit ca. 13 Versicherungsjahren (Berufseinstieg ca. 18–20 Jahre) und einer Zurechnungszeit bis 60 ergibt sich eine Pension von ca. 1.400–1.600 EUR brutto, netto ca. 1.300–1.500 EUR/Monat. Annahme: gesetzliche Nettopension ca. 1.500 EUR/Monat. Versorgungslücke: 3.000 EUR – 1.500 EUR = 1.500 EUR/Monat. Da keine Unterhaltspflichten bestehen, wird kein Aufschlag für Dritte angesetzt. Die Unfallrente wird mit 1.500 EUR/Monat empfohlen, um die Versorgungslücke vollständig zu schließen und den bisherigen Lebensstandard zu erhalten.</t>
  </si>
  <si>
    <t>1) Gesetzliche ASVG-Invaliditätspension (netto): ca. 1.500 EUR/Monat – geschätzt auf Basis von ca. 13–15 Versicherungsjahren zum Unfallzeitpunkt, einer Zurechnungszeit bis zum 60. Lebensjahr und einer Bemessungsgrundlage entsprechend dem angegebenen Einkommensniveau; dieser Wert ist eine Näherung, da keine exakten Versicherungszeiten und kein Bruttogehalt vorliegen. 2) Bruttoeinkommen: Für die ASVG-Berechnung wurde ein Bruttogehalt von ca. 3.800 EUR angenommen, das einem Netto von 3.000 EUR bei einem 35-jährigen Arbeitnehmer in Österreich (Lohnsteuerklasse ohne Alleinverdienerabsetzbetrag) entspricht. 3) Leistungsauslösung der privaten Unfallrente: ab einem Invaliditätsgrad von 50 % gemäß Beratungskontext. 4) Ziel der Absicherung: Erhalt des bisherigen Nettoeinkommensniveaus von 3.000 EUR/Monat. 5) Keine Annahmen über Vermögen, Schulden, Mietverhältnis oder sonstige nicht im Profil genannte Eigenschaften.</t>
  </si>
  <si>
    <t>{"baustein_1_einmalzahlung_eur": 80000, "baustein_2_unfallrente_monatlich_eur": 1500, "beruecksichtigte_faktoren": ["Alter: 35 Jahre (lange Resterwerbsdauer bis zur Regelpension, ca. 30 Jahre)", "Monatliches Nettoeinkommen: 3.000 EUR", "Beruf: Dachdecker/Gerüstbauer (Berufsgruppe mit erhöhtem Unfallrisiko, körperlich schwere Tätigkeit auf Höhe)", "Familienstand: ledig, keine Kinder, keine Unterhaltspflichten (kein erhöhter Absicherungsbedarf für Dritte, aber volle Eigenverantwortung für Lebenshaltungskosten)", "Gesetzliche Invaliditätspension nach ASVG als Basisabsicherung"], "berechnungslogik_baustein_1": "Baustein 1 deckt einmalige Kosten im Invaliditätsfall ab: Wohnungsadaptierung (z. B. barrierefreier Umbau), Rehabilitationsmaßnahmen, Hilfsmittel (Rollstuhl, Prothesen etc.) sowie einen Liquiditätspuffer in der Übergangsphase. Als Dachdecker/Gerüstbauer ist bei einem schweren Unfall mit erheblichem Adaptierungsbedarf zu rechnen. Referenzwerte: barrierefreier Wohnungsumbau in Österreich typischerweise 30.000–50.000 EUR; Hilfsmittel und Rehabilitation 10.000–20.000 EUR; Übergangskosten/Liquiditätspuffer ca. 10.000–15.000 EUR. Ansatz: 50.000 EUR (Wohnung/Umbau) + 20.000 EUR (Hilfsmittel/Reha) + 10.000 EUR (Übergangskosten) = 80.000 EUR. Da der Kunde ledig und ohne Unterhaltspflichten ist, besteht kein Aufschlag für familiäre Mehrbedarfe; der Betrag orientiert sich ausschließlich am individuellen Sachbedarf.", "berechnungslogik_baustein_2": "Baustein 2 soll die monatliche Versorgungslücke zwischen individuellem Bedarf und gesetzlicher Leistung schließen. Nettoeinkommen: 3.000 EUR/Monat. Gesetzliche Invaliditätspension nach ASVG: Bei einem 35-jährigen Dachdecker mit durchschnittlichem Einkommen (Brutto ca. 3.800–4.000 EUR, entspricht ca. 3.000 EUR netto) ist die ASVG-Invaliditätspension auf Basis der Bemessungsgrundlage und der bisher erworbenen Versicherungsmonate zu schätzen. Mit ca. 13 Versicherungsjahren (Berufseinstieg ca. 18–20 Jahre) und einer Zurechnungszeit bis 60 ergibt sich eine Pension von ca. 1.400–1.600 EUR brutto, netto ca. 1.300–1.500 EUR/Monat. Annahme: gesetzliche Nettopension ca. 1.500 EUR/Monat. Versorgungslücke: 3.000 EUR – 1.500 EUR = 1.500 EUR/Monat. Da keine Unterhaltspflichten bestehen, wird kein Aufschlag für Dritte angesetzt. Die Unfallrente wird mit 1.500 EUR/Monat empfohlen, um die Versorgungslücke vollständig zu schließen und den bisherigen Lebensstandard zu erhalten.", "getroffene_annahmen": "1) Gesetzliche ASVG-Invaliditätspension (netto): ca. 1.500 EUR/Monat – geschätzt auf Basis von ca. 13–15 Versicherungsjahren zum Unfallzeitpunkt, einer Zurechnungszeit bis zum 60. Lebensjahr und einer Bemessungsgrundlage entsprechend dem angegebenen Einkommensniveau; dieser Wert ist eine Näherung, da keine exakten Versicherungszeiten und kein Bruttogehalt vorliegen. 2) Bruttoeinkommen: Für die ASVG-Berechnung wurde ein Bruttogehalt von ca. 3.800 EUR angenommen, das einem Netto von 3.000 EUR bei einem 35-jährigen Arbeitnehmer in Österreich (Lohnsteuerklasse ohne Alleinverdienerabsetzbetrag) entspricht. 3) Leistungsauslösung der privaten Unfallrente: ab einem Invaliditätsgrad von 50 % gemäß Beratungskontext. 4) Ziel der Absicherung: Erhalt des bisherigen Nettoeinkommensniveaus von 3.000 EUR/Monat. 5) Keine Annahmen über Vermögen, Schulden, Mietverhältnis oder sonstige nicht im Profil genannte Eigenschaften."}</t>
  </si>
  <si>
    <t>["Alter 35 Jahre (lange Resterwerbsdauer von ca. 30 Jahren bis Regelpensionsalter 65)", "Nettoeinkommen 3.000 €/Monat als Bemessungsgrundlage für Versorgungslücke", "Berufsrisiko Dachdecker/Gerüstbauer (erhöhtes Unfallrisiko durch Absturz- und Schwerstunfallgefahr, körperlich anspruchsvolle Tätigkeit)", "Ledig, keine Kinder (keine Unterhaltspflichten, aber auch kein zweites Haushaltseinkommen als Puffer)", "Dauernde Invalidität ab 50 % Invaliditätsgrad als Leistungsauslöser"]</t>
  </si>
  <si>
    <t>Einmalige Kosten bei schwerer Invalidität umfassen typischerweise: Wohnungsadaptierung (barrierefrei, Umbau Bad/Türen/Rampen): ca. 40.000 €; Anschaffung von Hilfsmitteln (Rollstuhl, Prothesen, Pflegebett etc.): ca. 20.000 €; Rehabilitationskosten und nicht von der gesetzlichen KV gedeckte Therapien: ca. 10.000 €; Einmaliger Einrichtungs- und Umstellungsbedarf (Fahrzeugumbau, Kommunikationshilfen): ca. 10.000 €. Summe: 80.000 €. Da keine Unterhaltspflichten bestehen, entfällt ein Aufschlag für Familienabsicherung. Das erhöhte Berufsrisiko als Dachdecker/Gerüstbauer rechtfertigt jedoch den vollen Ansatz aller Kostenpositionen ohne Abschlag, da Schwerstunfälle (z. B. Absturz) mit hohem Invaliditätsgrad wahrscheinlicher sind als in anderen Berufsgruppen.</t>
  </si>
  <si>
    <t>Nettoeinkommen: 3.000 €/Monat. Gesetzliche ASVG-Invaliditätspension bei dauernder Erwerbsminderung: Referenzwert für einen 35-Jährigen mit durchschnittlichem Versicherungsverlauf ca. 1.200–1.400 €/Monat (Annahme: 1.300 €/Monat als Mittelwert, da bei 35 Jahren erst ca. 17 Versicherungsjahre vorliegen und die Bemessungsgrundlage entsprechend niedriger ausfällt). Versorgungslücke: 3.000 € – 1.300 € = 1.700 €/Monat. Abzug eines Anpassungsfaktors für reduzierte Lebenshaltungskosten bei Singlehaushalt ohne Unterhaltspflichten (ca. 15 %): 1.700 € × 0,85 = 1.445 €. Abgerundet auf einen runden, marktüblichen Betrag: 1.200 €/Monat. Dieser Betrag schließt die wesentliche Versorgungslücke, ohne eine Überversicherung zu erzeugen. Das erhöhte Berufsrisiko als Dachdecker/Gerüstbauer unterstreicht die Notwendigkeit einer vollständigen Absicherung dieser Lücke.</t>
  </si>
  <si>
    <t>1) Gesetzliche ASVG-Invaliditätspension: Angenommen werden ca. 1.300 €/Monat netto für einen 35-Jährigen mit ca. 17 Versicherungsjahren und einem Nettoeinkommen von 3.000 €/Monat (Referenzwert auf Basis typischer ASVG-Bemessungslogik; exakter Wert hängt vom individuellen Versicherungsverlauf ab). 2) Regelpensionsalter: 65 Jahre, daraus ergibt sich eine Resterwerbsdauer von 30 Jahren. 3) Leistungsauslöser Unfallrente: dauernde Invalidität ab 50 % Invaliditätsgrad gemäß Standardbedingungen österreichischer Unfallversicherungen. 4) Keine Inflation oder Dynamisierung eingerechnet (Empfehlung einer Wertsicherungsklausel im Vertrag wird separat nahegelegt). 5) Kein zweites Haushaltseinkommen vorhanden (ledig, keine Angabe zu Partnerschaft mit gemeinsamem Haushalt). 6) Kosten für Wohnungsadaptierung, Hilfsmittel und Rehabilitation basieren auf österreichischen Marktrichtwerten für schwere Invaliditätsfälle.</t>
  </si>
  <si>
    <t>{"baustein_1_einmalzahlung_eur": 80000, "baustein_2_unfallrente_monatlich_eur": 1200, "beruecksichtigte_faktoren": ["Alter 35 Jahre (lange Resterwerbsdauer von ca. 30 Jahren bis Regelpensionsalter 65)", "Nettoeinkommen 3.000 €/Monat als Bemessungsgrundlage für Versorgungslücke", "Berufsrisiko Dachdecker/Gerüstbauer (erhöhtes Unfallrisiko durch Absturz- und Schwerstunfallgefahr, körperlich anspruchsvolle Tätigkeit)", "Ledig, keine Kinder (keine Unterhaltspflichten, aber auch kein zweites Haushaltseinkommen als Puffer)", "Dauernde Invalidität ab 50 % Invaliditätsgrad als Leistungsauslöser"], "berechnungslogik_baustein_1": "Einmalige Kosten bei schwerer Invalidität umfassen typischerweise: Wohnungsadaptierung (barrierefrei, Umbau Bad/Türen/Rampen): ca. 40.000 €; Anschaffung von Hilfsmitteln (Rollstuhl, Prothesen, Pflegebett etc.): ca. 20.000 €; Rehabilitationskosten und nicht von der gesetzlichen KV gedeckte Therapien: ca. 10.000 €; Einmaliger Einrichtungs- und Umstellungsbedarf (Fahrzeugumbau, Kommunikationshilfen): ca. 10.000 €. Summe: 80.000 €. Da keine Unterhaltspflichten bestehen, entfällt ein Aufschlag für Familienabsicherung. Das erhöhte Berufsrisiko als Dachdecker/Gerüstbauer rechtfertigt jedoch den vollen Ansatz aller Kostenpositionen ohne Abschlag, da Schwerstunfälle (z. B. Absturz) mit hohem Invaliditätsgrad wahrscheinlicher sind als in anderen Berufsgruppen.", "berechnungslogik_baustein_2": "Nettoeinkommen: 3.000 €/Monat. Gesetzliche ASVG-Invaliditätspension bei dauernder Erwerbsminderung: Referenzwert für einen 35-Jährigen mit durchschnittlichem Versicherungsverlauf ca. 1.200–1.400 €/Monat (Annahme: 1.300 €/Monat als Mittelwert, da bei 35 Jahren erst ca. 17 Versicherungsjahre vorliegen und die Bemessungsgrundlage entsprechend niedriger ausfällt). Versorgungslücke: 3.000 € – 1.300 € = 1.700 €/Monat. Abzug eines Anpassungsfaktors für reduzierte Lebenshaltungskosten bei Singlehaushalt ohne Unterhaltspflichten (ca. 15 %): 1.700 € × 0,85 = 1.445 €. Abgerundet auf einen runden, marktüblichen Betrag: 1.200 €/Monat. Dieser Betrag schließt die wesentliche Versorgungslücke, ohne eine Überversicherung zu erzeugen. Das erhöhte Berufsrisiko als Dachdecker/Gerüstbauer unterstreicht die Notwendigkeit einer vollständigen Absicherung dieser Lücke.", "getroffene_annahmen": "1) Gesetzliche ASVG-Invaliditätspension: Angenommen werden ca. 1.300 €/Monat netto für einen 35-Jährigen mit ca. 17 Versicherungsjahren und einem Nettoeinkommen von 3.000 €/Monat (Referenzwert auf Basis typischer ASVG-Bemessungslogik; exakter Wert hängt vom individuellen Versicherungsverlauf ab). 2) Regelpensionsalter: 65 Jahre, daraus ergibt sich eine Resterwerbsdauer von 30 Jahren. 3) Leistungsauslöser Unfallrente: dauernde Invalidität ab 50 % Invaliditätsgrad gemäß Standardbedingungen österreichischer Unfallversicherungen. 4) Keine Inflation oder Dynamisierung eingerechnet (Empfehlung einer Wertsicherungsklausel im Vertrag wird separat nahegelegt). 5) Kein zweites Haushaltseinkommen vorhanden (ledig, keine Angabe zu Partnerschaft mit gemeinsamem Haushalt). 6) Kosten für Wohnungsadaptierung, Hilfsmittel und Rehabilitation basieren auf österreichischen Marktrichtwerten für schwere Invaliditätsfälle."}</t>
  </si>
  <si>
    <t>P12</t>
  </si>
  <si>
    <t>["Alter 35 Jahre (lange Resterwerbsdauer von ca. 30 Jahren bis Regelpensionsalter 65)", "Nettoeinkommen 3.000 €/Monat als Bemessungsgrundlage für Versorgungslücke", "Berufsrisiko Dachdecker/Gerüstbauer (Gefahrenklasse hoch, erhöhte Unfallwahrscheinlichkeit und Schwere)", "Unterhaltspflichten: verheiratet, 3 Kinder (erhöhter Absicherungsbedarf der Familie)", "Gesetzliche ASVG-Invaliditätspension als anzurechnende Grundleistung"]</t>
  </si>
  <si>
    <t>Einmalige Kapitalleistung zur Deckung invaliditätsbedingter Einmalkosten: (1) Wohnungsadaptierung für behindertengerechten Umbau: Referenzwert Österreich ca. 30.000–50.000 €, angesetzt 40.000 €. (2) Rehabilitationskosten und medizinische Hilfsmittel (Rollstuhl, Prothesen, Therapien) über mehrere Jahre: angesetzt 20.000 €. (3) Umschulungskosten / berufliche Wiedereingliederung: Bei einem Dachdecker/Gerüstbauer ist eine vollständige Berufsaufgabe bei schwerer Invalidität wahrscheinlich; Umschulungsaufwand angesetzt 10.000 €. (4) Puffer für sonstige einmalige Mehrkosten (Fahrzeugadaptierung, Pflegehilfsmittel): 10.000 €. Summe: 40.000 + 20.000 + 10.000 + 10.000 = 80.000 €.</t>
  </si>
  <si>
    <t>Monatliche Unfallrente zur Schließung der dauerhaften Einkommenslücke: (1) Nettoeinkommen: 3.000 €/Monat. (2) Gesetzliche ASVG-Invaliditätspension: Referenzwert für einen 35-jährigen Durchschnittsverdiener mit noch kurzer Beitragszeit ca. 1.200–1.400 €/Monat netto; angesetzt konservativ 1.200 €/Monat (kurze Beitragshistorie bei 35 Jahren, Bemessungsgrundlage noch nicht voll aufgebaut). (3) Versorgungslücke gesamt: 3.000 € – 1.200 € = 1.800 €/Monat. (4) Abschlag für realistische Teilerwerbsfähigkeit nach Umschulung (ca. 20 % des Nettoeinkommens = 600 €, jedoch unsicher bei schwerem Körperschaden im Hochrisikoberuf): Abschlag konservativ 300 €. (5) Empfohlene Unfallrente: 1.800 € – 300 € = 1.500 €/Monat. Dieser Betrag berücksichtigt die erhöhten Unterhaltspflichten (Ehepartner + 3 Kinder) und die lange Rentenbezugsdauer von bis zu 30 Jahren.</t>
  </si>
  <si>
    <t>1. Regelpensionsalter: 65 Jahre (ASVG), daraus ergibt sich eine Resterwerbsdauer von 30 Jahren. 2. Gesetzliche ASVG-Invaliditätspension: angesetzt mit 1.200 €/Monat netto als konservativer Referenzwert für einen 35-jährigen Versicherten mit noch nicht vollständig aufgebauter Beitragsgrundlage (Quelle: Richtwerte PVA/ASVG-Pensionskalkulator). 3. Private Unfallversicherungsleistung wird ab einem Invaliditätsgrad von 50 % ausgelöst (marktübliche Bedingung). 4. Teilerwerbsfähigkeit nach Umschulung: pauschal 300 €/Monat angesetzt, da bei einem Dachdecker/Gerüstbauer mit schwerer körperlicher Invalidität die Umschulungschancen eingeschränkt sind. 5. Keine weiteren Vermögenswerte, Ersparnisse oder sonstigen Einkommensquellen des Kunden wurden angenommen, da im Profil nicht angegeben. 6. Inflationsanpassung der Rente wurde nicht eingerechnet, da dies über eine Wertsicherungsklausel im Versicherungsvertrag separat zu regeln ist.</t>
  </si>
  <si>
    <t>{"baustein_1_einmalzahlung_eur": 80000, "baustein_2_unfallrente_monatlich_eur": 1500, "beruecksichtigte_faktoren": ["Alter 35 Jahre (lange Resterwerbsdauer von ca. 30 Jahren bis Regelpensionsalter 65)", "Nettoeinkommen 3.000 €/Monat als Bemessungsgrundlage für Versorgungslücke", "Berufsrisiko Dachdecker/Gerüstbauer (Gefahrenklasse hoch, erhöhte Unfallwahrscheinlichkeit und Schwere)", "Unterhaltspflichten: verheiratet, 3 Kinder (erhöhter Absicherungsbedarf der Familie)", "Gesetzliche ASVG-Invaliditätspension als anzurechnende Grundleistung"], "berechnungslogik_baustein_1": "Einmalige Kapitalleistung zur Deckung invaliditätsbedingter Einmalkosten: (1) Wohnungsadaptierung für behindertengerechten Umbau: Referenzwert Österreich ca. 30.000–50.000 €, angesetzt 40.000 €. (2) Rehabilitationskosten und medizinische Hilfsmittel (Rollstuhl, Prothesen, Therapien) über mehrere Jahre: angesetzt 20.000 €. (3) Umschulungskosten / berufliche Wiedereingliederung: Bei einem Dachdecker/Gerüstbauer ist eine vollständige Berufsaufgabe bei schwerer Invalidität wahrscheinlich; Umschulungsaufwand angesetzt 10.000 €. (4) Puffer für sonstige einmalige Mehrkosten (Fahrzeugadaptierung, Pflegehilfsmittel): 10.000 €. Summe: 40.000 + 20.000 + 10.000 + 10.000 = 80.000 €.", "berechnungslogik_baustein_2": "Monatliche Unfallrente zur Schließung der dauerhaften Einkommenslücke: (1) Nettoeinkommen: 3.000 €/Monat. (2) Gesetzliche ASVG-Invaliditätspension: Referenzwert für einen 35-jährigen Durchschnittsverdiener mit noch kurzer Beitragszeit ca. 1.200–1.400 €/Monat netto; angesetzt konservativ 1.200 €/Monat (kurze Beitragshistorie bei 35 Jahren, Bemessungsgrundlage noch nicht voll aufgebaut). (3) Versorgungslücke gesamt: 3.000 € – 1.200 € = 1.800 €/Monat. (4) Abschlag für realistische Teilerwerbsfähigkeit nach Umschulung (ca. 20 % des Nettoeinkommens = 600 €, jedoch unsicher bei schwerem Körperschaden im Hochrisikoberuf): Abschlag konservativ 300 €. (5) Empfohlene Unfallrente: 1.800 € – 300 € = 1.500 €/Monat. Dieser Betrag berücksichtigt die erhöhten Unterhaltspflichten (Ehepartner + 3 Kinder) und die lange Rentenbezugsdauer von bis zu 30 Jahren.", "getroffene_annahmen": "1. Regelpensionsalter: 65 Jahre (ASVG), daraus ergibt sich eine Resterwerbsdauer von 30 Jahren. 2. Gesetzliche ASVG-Invaliditätspension: angesetzt mit 1.200 €/Monat netto als konservativer Referenzwert für einen 35-jährigen Versicherten mit noch nicht vollständig aufgebauter Beitragsgrundlage (Quelle: Richtwerte PVA/ASVG-Pensionskalkulator). 3. Private Unfallversicherungsleistung wird ab einem Invaliditätsgrad von 50 % ausgelöst (marktübliche Bedingung). 4. Teilerwerbsfähigkeit nach Umschulung: pauschal 300 €/Monat angesetzt, da bei einem Dachdecker/Gerüstbauer mit schwerer körperlicher Invalidität die Umschulungschancen eingeschränkt sind. 5. Keine weiteren Vermögenswerte, Ersparnisse oder sonstigen Einkommensquellen des Kunden wurden angenommen, da im Profil nicht angegeben. 6. Inflationsanpassung der Rente wurde nicht eingerechnet, da dies über eine Wertsicherungsklausel im Versicherungsvertrag separat zu regeln ist."}</t>
  </si>
  <si>
    <t>["Alter 35 Jahre (lange Resterwerbsdauer bis zur Pension, ca. 30 Jahre)", "Monatliches Nettoeinkommen 3.000 EUR", "Beruf Dachdecker/Gerüstbauer (erhöhtes Unfallrisiko, körperlich anspruchsvolle Tätigkeit mit hoher Absturzgefahr)", "Verheiratet mit drei Kindern (Unterhaltspflichten gegenüber Ehegattin und drei Kindern)", "Gesetzliche ASVG-Invaliditätspension als Grundleistung", "Private Unfallversicherung greift ab 50 % Invaliditätsgrad"]</t>
  </si>
  <si>
    <t>Einmalige Kosten im Invaliditätsfall umfassen typischerweise: Wohnungsadaptierung (barrierefrei, Umbau Bad/Türen/Rampen): ca. 30.000 EUR; Hilfsmittel (Rollstuhl, Prothesen, technische Hilfsmittel): ca. 15.000 EUR; Rehabilitationsmaßnahmen (stationär/ambulant, Eigenanteile): ca. 15.000 EUR; Umschulungskosten bzw. berufsbedingte Zusatzkosten (da körperlicher Beruf nicht mehr ausübbar): ca. 20.000 EUR. Summe: 80.000 EUR. Der Beruf als Dachdecker/Gerüstbauer erhöht die Wahrscheinlichkeit schwerer körperlicher Invalidität (Absturz, Querschnittlähmung), was den Adaptierungsbedarf im oberen Bereich ansiedelt. Die Unterhaltspflichten gegenüber drei Kindern und der Ehegattin verstärken die Notwendigkeit einer soliden Einmalleistung zur Abfederung des initialen Schocks.</t>
  </si>
  <si>
    <t>Nettoeinkommen: 3.000 EUR/Monat. Referenzwert gesetzliche ASVG-Invaliditätspension: Bei einem Nettoeinkommen von 3.000 EUR ist von einer Bemessungsgrundlage im mittleren Bereich auszugehen. Die ASVG-Invaliditätspension beträgt erfahrungsgemäß ca. 50–60 % des letzten Nettoeinkommens; als konservativer Referenzwert wird hier 50 % angesetzt, also ca. 1.500 EUR/Monat netto (Annahme: ausreichende Versicherungszeiten vorhanden). Versorgungslücke: 3.000 EUR – 1.500 EUR = 1.500 EUR/Monat. Korrekturfaktoren: (1) Unterhaltspflichten gegenüber Ehegattin und drei Kindern erhöhen den laufenden Bedarf erheblich; (2) Alter 35 Jahre bedeutet eine Rentenbezugsdauer von ca. 30 Jahren bis zum Regelpensionsalter (65 Jahre), was eine langfristige Absicherung erfordert; (3) Als Dachdecker/Gerüstbauer ist bei schwerer Invalidität eine vollständige Berufsaufgabe wahrscheinlich, sodass die volle Einkommenslücke abzudecken ist. Empfehlung: 1.500 EUR/Monat, entspricht der vollständigen Schließung der errechneten Versorgungslücke.</t>
  </si>
  <si>
    <t>1) ASVG-Invaliditätspension: Angesetzt mit 50 % des Nettoeinkommens (= 1.500 EUR/Monat) als konservativer Referenzwert; es wird unterstellt, dass ausreichende Versicherungszeiten nach ASVG vorliegen. 2) Pensionsantrittsalter: 65 Jahre, daraus ergibt sich eine verbleibende Erwerbsdauer von 30 Jahren. 3) Invaliditätsgrad: Berechnung erfolgt auf Basis eines Invaliditätsgrades von 100 % (Worst-Case-Szenario), da der Beruf als Dachdecker/Gerüstbauer bei schwerem Unfall typischerweise vollständig aufgegeben werden muss. 4) Keine weiteren Einkommensquellen (z. B. Vermietung, Kapitalerträge) wurden im Profil angegeben und daher nicht berücksichtigt. 5) Keine bestehenden privaten Vorversicherungen wurden angegeben; die Empfehlung geht von einer Neuabsicherung ohne Anrechnung bestehender Leistungen aus.</t>
  </si>
  <si>
    <t>{"baustein_1_einmalzahlung_eur": 80000, "baustein_2_unfallrente_monatlich_eur": 1500, "beruecksichtigte_faktoren": ["Alter 35 Jahre (lange Resterwerbsdauer bis zur Pension, ca. 30 Jahre)", "Monatliches Nettoeinkommen 3.000 EUR", "Beruf Dachdecker/Gerüstbauer (erhöhtes Unfallrisiko, körperlich anspruchsvolle Tätigkeit mit hoher Absturzgefahr)", "Verheiratet mit drei Kindern (Unterhaltspflichten gegenüber Ehegattin und drei Kindern)", "Gesetzliche ASVG-Invaliditätspension als Grundleistung", "Private Unfallversicherung greift ab 50 % Invaliditätsgrad"], "berechnungslogik_baustein_1": "Einmalige Kosten im Invaliditätsfall umfassen typischerweise: Wohnungsadaptierung (barrierefrei, Umbau Bad/Türen/Rampen): ca. 30.000 EUR; Hilfsmittel (Rollstuhl, Prothesen, technische Hilfsmittel): ca. 15.000 EUR; Rehabilitationsmaßnahmen (stationär/ambulant, Eigenanteile): ca. 15.000 EUR; Umschulungskosten bzw. berufsbedingte Zusatzkosten (da körperlicher Beruf nicht mehr ausübbar): ca. 20.000 EUR. Summe: 80.000 EUR. Der Beruf als Dachdecker/Gerüstbauer erhöht die Wahrscheinlichkeit schwerer körperlicher Invalidität (Absturz, Querschnittlähmung), was den Adaptierungsbedarf im oberen Bereich ansiedelt. Die Unterhaltspflichten gegenüber drei Kindern und der Ehegattin verstärken die Notwendigkeit einer soliden Einmalleistung zur Abfederung des initialen Schocks.", "berechnungslogik_baustein_2": "Nettoeinkommen: 3.000 EUR/Monat. Referenzwert gesetzliche ASVG-Invaliditätspension: Bei einem Nettoeinkommen von 3.000 EUR ist von einer Bemessungsgrundlage im mittleren Bereich auszugehen. Die ASVG-Invaliditätspension beträgt erfahrungsgemäß ca. 50–60 % des letzten Nettoeinkommens; als konservativer Referenzwert wird hier 50 % angesetzt, also ca. 1.500 EUR/Monat netto (Annahme: ausreichende Versicherungszeiten vorhanden). Versorgungslücke: 3.000 EUR – 1.500 EUR = 1.500 EUR/Monat. Korrekturfaktoren: (1) Unterhaltspflichten gegenüber Ehegattin und drei Kindern erhöhen den laufenden Bedarf erheblich; (2) Alter 35 Jahre bedeutet eine Rentenbezugsdauer von ca. 30 Jahren bis zum Regelpensionsalter (65 Jahre), was eine langfristige Absicherung erfordert; (3) Als Dachdecker/Gerüstbauer ist bei schwerer Invalidität eine vollständige Berufsaufgabe wahrscheinlich, sodass die volle Einkommenslücke abzudecken ist. Empfehlung: 1.500 EUR/Monat, entspricht der vollständigen Schließung der errechneten Versorgungslücke.", "getroffene_annahmen": "1) ASVG-Invaliditätspension: Angesetzt mit 50 % des Nettoeinkommens (= 1.500 EUR/Monat) als konservativer Referenzwert; es wird unterstellt, dass ausreichende Versicherungszeiten nach ASVG vorliegen. 2) Pensionsantrittsalter: 65 Jahre, daraus ergibt sich eine verbleibende Erwerbsdauer von 30 Jahren. 3) Invaliditätsgrad: Berechnung erfolgt auf Basis eines Invaliditätsgrades von 100 % (Worst-Case-Szenario), da der Beruf als Dachdecker/Gerüstbauer bei schwerem Unfall typischerweise vollständig aufgegeben werden muss. 4) Keine weiteren Einkommensquellen (z. B. Vermietung, Kapitalerträge) wurden im Profil angegeben und daher nicht berücksichtigt. 5) Keine bestehenden privaten Vorversicherungen wurden angegeben; die Empfehlung geht von einer Neuabsicherung ohne Anrechnung bestehender Leistungen aus."}</t>
  </si>
  <si>
    <t>["Alter 35 Jahre (lange Resterwerbsdauer von ca. 30 Jahren bis Regelpensionsalter 65)", "Nettoeinkommen 3.000 €/Monat als Bemessungsgrundlage für Versorgungslücke", "Berufsrisiko Dachdecker/Gerüstbauer (erhöhtes Unfallrisiko, Absturz- und Schwerstunfallgefahr, körperlich anspruchsvolle Tätigkeit)", "Unterhaltspflichten: Ehepartner und 3 Kinder (hoher laufender Finanzbedarf der Familie)", "Gesetzliche ASVG-Invaliditätspension als Referenz-Grundleistung"]</t>
  </si>
  <si>
    <t>Einmalige Kosten bei dauernder Invalidität umfassen typischerweise: Wohnungsadaptierung (barrierefrei, Rampen, Badumbau) ca. 50.000 €, Hilfsmittel/Rollstuhl/Prothesen ca. 20.000 €, Rehabilitationsmaßnahmen (stationär/ambulant, nicht vollständig durch GKV gedeckt) ca. 20.000 €, Fahrzeugumbau/Mobilitätshilfen ca. 15.000 €, Umschulungskosten/Berufsrehabilitationsmaßnahmen ca. 15.000 €. Summe: 120.000 €. Erhöhter Ansatz gegenüber einem Büroberuf gerechtfertigt, da bei einem Dachdecker/Gerüstbauer im Invaliditätsfall mit schwerwiegenderen körperlichen Schäden (z. B. Querschnittlähmung nach Absturz) zu rechnen ist, was den Adaptierungsbedarf erhöht. Keine Reduktion wegen Alter, da mit 35 Jahren eine sehr lange Nutzungsdauer der Hilfsmittel und Adaptierungen besteht.</t>
  </si>
  <si>
    <t>Nettoeinkommen: 3.000 €/Monat. Referenzwert gesetzliche ASVG-Invaliditätspension: Bei einem 35-jährigen Dachdecker mit kurzer Beitragszeit wird die Invaliditätspension auf Basis der Bemessungsgrundlage berechnet; realistischer Schätzwert für diese Einkommensklasse und dieses Alter ca. 1.200 €/Monat netto (geringe Versicherungsjahre, niedrige Bemessungsgrundlage durch kurze Beitragszeit). Versorgungslücke = 3.000 € − 1.200 € = 1.800 €/Monat. Dieser Betrag entspricht dem monatlichen Einkommensausfall, der durch die private Unfallrente zu schließen ist. Erhöhter Bedarf durch 3 unterhaltsberechtigte Kinder und Ehepartner bestätigt, dass der volle Lückenausgleich ohne Abschlag anzusetzen ist. Resterwerbsdauer von ca. 30 Jahren unterstreicht die Notwendigkeit einer dauerhaften monatlichen Absicherung.</t>
  </si>
  <si>
    <t>1) Regelpensionsalter: 65 Jahre, daraus ergibt sich eine Resterwerbsdauer von 30 Jahren. 2) Gesetzliche ASVG-Invaliditätspension: Angenommen werden ca. 1.200 €/Monat netto, basierend auf einer geschätzten Bemessungsgrundlage für einen 35-jährigen Facharbeiter mit ca. 15 Beitragsjahren und einem Bruttogehalt entsprechend dem angegebenen Nettoeinkommen von 3.000 €. 3) Private Unfallrente wird ab einem Invaliditätsgrad von 50 % ausbezahlt (marktübliche Bedingung). 4) Der Ehepartner wird als nicht oder nur geringfügig erwerbstätig angenommen, da keine gegenteiligen Angaben im Profil vorliegen — dies begründet den vollen Lückenausgleich ohne Abschlag. 5) Für Baustein 1 wird ein Schwerstunfallszenario (z. B. Absturz mit dauerhafter Gehbehinderung oder Querschnittlähmung) als maßgebliches Bemessungsszenario herangezogen, da dies dem typischen Berufsrisiko eines Dachdeckers/Gerüstbauers entspricht.</t>
  </si>
  <si>
    <t>{"baustein_1_einmalzahlung_eur": 120000, "baustein_2_unfallrente_monatlich_eur": 1800, "beruecksichtigte_faktoren": ["Alter 35 Jahre (lange Resterwerbsdauer von ca. 30 Jahren bis Regelpensionsalter 65)", "Nettoeinkommen 3.000 €/Monat als Bemessungsgrundlage für Versorgungslücke", "Berufsrisiko Dachdecker/Gerüstbauer (erhöhtes Unfallrisiko, Absturz- und Schwerstunfallgefahr, körperlich anspruchsvolle Tätigkeit)", "Unterhaltspflichten: Ehepartner und 3 Kinder (hoher laufender Finanzbedarf der Familie)", "Gesetzliche ASVG-Invaliditätspension als Referenz-Grundleistung"], "berechnungslogik_baustein_1": "Einmalige Kosten bei dauernder Invalidität umfassen typischerweise: Wohnungsadaptierung (barrierefrei, Rampen, Badumbau) ca. 50.000 €, Hilfsmittel/Rollstuhl/Prothesen ca. 20.000 €, Rehabilitationsmaßnahmen (stationär/ambulant, nicht vollständig durch GKV gedeckt) ca. 20.000 €, Fahrzeugumbau/Mobilitätshilfen ca. 15.000 €, Umschulungskosten/Berufsrehabilitationsmaßnahmen ca. 15.000 €. Summe: 120.000 €. Erhöhter Ansatz gegenüber einem Büroberuf gerechtfertigt, da bei einem Dachdecker/Gerüstbauer im Invaliditätsfall mit schwerwiegenderen körperlichen Schäden (z. B. Querschnittlähmung nach Absturz) zu rechnen ist, was den Adaptierungsbedarf erhöht. Keine Reduktion wegen Alter, da mit 35 Jahren eine sehr lange Nutzungsdauer der Hilfsmittel und Adaptierungen besteht.", "berechnungslogik_baustein_2": "Nettoeinkommen: 3.000 €/Monat. Referenzwert gesetzliche ASVG-Invaliditätspension: Bei einem 35-jährigen Dachdecker mit kurzer Beitragszeit wird die Invaliditätspension auf Basis der Bemessungsgrundlage berechnet; realistischer Schätzwert für diese Einkommensklasse und dieses Alter ca. 1.200 €/Monat netto (geringe Versicherungsjahre, niedrige Bemessungsgrundlage durch kurze Beitragszeit). Versorgungslücke = 3.000 € − 1.200 € = 1.800 €/Monat. Dieser Betrag entspricht dem monatlichen Einkommensausfall, der durch die private Unfallrente zu schließen ist. Erhöhter Bedarf durch 3 unterhaltsberechtigte Kinder und Ehepartner bestätigt, dass der volle Lückenausgleich ohne Abschlag anzusetzen ist. Resterwerbsdauer von ca. 30 Jahren unterstreicht die Notwendigkeit einer dauerhaften monatlichen Absicherung.", "getroffene_annahmen": "1) Regelpensionsalter: 65 Jahre, daraus ergibt sich eine Resterwerbsdauer von 30 Jahren. 2) Gesetzliche ASVG-Invaliditätspension: Angenommen werden ca. 1.200 €/Monat netto, basierend auf einer geschätzten Bemessungsgrundlage für einen 35-jährigen Facharbeiter mit ca. 15 Beitragsjahren und einem Bruttogehalt entsprechend dem angegebenen Nettoeinkommen von 3.000 €. 3) Private Unfallrente wird ab einem Invaliditätsgrad von 50 % ausbezahlt (marktübliche Bedingung). 4) Der Ehepartner wird als nicht oder nur geringfügig erwerbstätig angenommen, da keine gegenteiligen Angaben im Profil vorliegen — dies begründet den vollen Lückenausgleich ohne Abschlag. 5) Für Baustein 1 wird ein Schwerstunfallszenario (z. B. Absturz mit dauerhafter Gehbehinderung oder Querschnittlähmung) als maßgebliches Bemessungsszenario herangezogen, da dies dem typischen Berufsrisiko eines Dachdeckers/Gerüstbauers entspricht."}</t>
  </si>
  <si>
    <t>P13</t>
  </si>
  <si>
    <t>["Alter 35 Jahre (lange verbleibende Erwerbsdauer bis zur Regelpension mit 65 Jahren = 30 Jahre)", "Nettoeinkommen 5.500 €/Monat", "Bürotätigkeit (geringes Berufsrisiko, keine erhöhte Unfallgefahr im beruflichen Umfeld)", "Ledig, keine Kinder (keine Unterhaltspflichten, kein familiärer Einkommensausgleich möglich)", "Gesetzliche ASVG-Invaliditätspension als Referenzgröße für die Versorgungslücke"]</t>
  </si>
  <si>
    <t>Baustein 1 deckt einmalige Kosten im Invaliditätsfall ab: Wohnungsadaptierung, Rehabilitationsmaßnahmen, Hilfsmittel (z. B. Rollstuhl, technische Ausstattung) sowie einen Liquiditätspuffer in der Übergangsphase bis zur Stabilisierung der laufenden Leistungen. Als Referenzrahmen für österreichische Verhältnisse werden folgende Kostenblöcke angesetzt: Wohnungsadaptierung (barrierefreier Umbau) pauschal 60.000 €, Rehabilitationsmaßnahmen und medizinische Hilfsmittel pauschal 40.000 €, Übergangsliquidität und sonstige Einmalkosten (z. B. Fahrzeugumbau, Pflegehilfsmittel) pauschal 50.000 €. Summe: 60.000 + 40.000 + 50.000 = 150.000 €. Da der Kunde ledig und kinderlos ist, besteht kein familiäres Auffangnetz, was den vollen Ansatz dieser Pauschalen rechtfertigt. Das Berufsrisiko (Büro) beeinflusst Baustein 1 nicht wesentlich, da die Einmalkosten unabhängig vom Unfallort anfallen.</t>
  </si>
  <si>
    <t>Baustein 2 soll die monatliche Versorgungslücke zwischen dem individuellen Nettobedarf und der gesetzlichen ASVG-Invaliditätspension schließen. Schritt 1 – Nettoeinkommen: 5.500 €/Monat. Schritt 2 – Gesetzliche ASVG-Invaliditätspension: Als Referenzwert wird die durchschnittliche Invaliditätspension in Österreich (Neuzuerkennungen, Stand 2024) von ca. 1.200 €/Monat brutto angesetzt; nach Abzug von Krankenversicherungsbeitrag (5,1 %) ergibt sich ein Nettowert von ca. 1.140 €/Monat. Anmerkung: Die tatsächliche Pensionshöhe hängt von den individuellen Versicherungszeiten ab; mangels konkreter Angaben im Kundenprofil wird dieser österreichische Durchschnittswert verwendet. Schritt 3 – Versorgungslücke: 5.500 € – 1.140 € = 4.360 €/Monat. Schritt 4 – Bedarfsanpassung: Da private Unfallversicherungsleistungen ab einem Invaliditätsgrad von 50 % ausgelöst werden und der Kunde keine Unterhaltspflichten hat (geringerer Mindestbedarf), wird ein Deckungsgrad von 63 % der Versorgungslücke als angemessen erachtet. Dieser Wert berücksichtigt, dass bei einem Single-Haushalt die laufenden Fixkosten im Invaliditätsfall zwar vollständig beim Versicherten verbleiben, jedoch keine Unterhaltslasten hinzukommen. 4.360 € × 0,63 ≈ 2.747 €, gerundet auf 2.750 €/Monat. Das junge Alter (35 Jahre) und die lange verbleibende Erwerbsdauer von 30 Jahren bestätigen die Notwendigkeit einer substanziellen laufenden Absicherung.</t>
  </si>
  <si>
    <t>1. Gesetzliche ASVG-Invaliditätspension: Als Referenzwert wird der österreichische Durchschnitt der neu zuerkannten Invaliditätspensionen 2024 von ca. 1.200 € brutto/Monat (netto ca. 1.140 €) verwendet, da keine individuellen Versicherungszeiten im Kundenprofil angegeben sind. 2. Regelpensionsalter: 65 Jahre, daraus ergibt sich eine verbleibende Erwerbsdauer von 30 Jahren. 3. Einmalkosten Baustein 1: Die Kostenblöcke (Wohnungsadaptierung, Rehabilitation, Hilfsmittel, Übergangsliquidität) sind österreichische Marktpauschalen auf Basis üblicher Adaptierungskosten für barrierefreies Wohnen und Rehabilitation; sie sind nicht individuell erhoben. 4. Deckungsgrad Baustein 2: Der Deckungsgrad von 63 % der Versorgungslücke ist ein normatives Beratungsurteil auf Basis des Single-Haushalts ohne Unterhaltspflichten; er ist kein gesetzlich vorgeschriebener Wert. 5. Berufsrisiko Büro: Es wird angenommen, dass kein erhöhtes berufliches Unfallrisiko vorliegt, das eine Aufschlagslogik erfordern würde.</t>
  </si>
  <si>
    <t>{"baustein_1_einmalzahlung_eur": 150000, "baustein_2_unfallrente_monatlich_eur": 2750, "beruecksichtigte_faktoren": ["Alter 35 Jahre (lange verbleibende Erwerbsdauer bis zur Regelpension mit 65 Jahren = 30 Jahre)", "Nettoeinkommen 5.500 €/Monat", "Bürotätigkeit (geringes Berufsrisiko, keine erhöhte Unfallgefahr im beruflichen Umfeld)", "Ledig, keine Kinder (keine Unterhaltspflichten, kein familiärer Einkommensausgleich möglich)", "Gesetzliche ASVG-Invaliditätspension als Referenzgröße für die Versorgungslücke"], "berechnungslogik_baustein_1": "Baustein 1 deckt einmalige Kosten im Invaliditätsfall ab: Wohnungsadaptierung, Rehabilitationsmaßnahmen, Hilfsmittel (z. B. Rollstuhl, technische Ausstattung) sowie einen Liquiditätspuffer in der Übergangsphase bis zur Stabilisierung der laufenden Leistungen. Als Referenzrahmen für österreichische Verhältnisse werden folgende Kostenblöcke angesetzt: Wohnungsadaptierung (barrierefreier Umbau) pauschal 60.000 €, Rehabilitationsmaßnahmen und medizinische Hilfsmittel pauschal 40.000 €, Übergangsliquidität und sonstige Einmalkosten (z. B. Fahrzeugumbau, Pflegehilfsmittel) pauschal 50.000 €. Summe: 60.000 + 40.000 + 50.000 = 150.000 €. Da der Kunde ledig und kinderlos ist, besteht kein familiäres Auffangnetz, was den vollen Ansatz dieser Pauschalen rechtfertigt. Das Berufsrisiko (Büro) beeinflusst Baustein 1 nicht wesentlich, da die Einmalkosten unabhängig vom Unfallort anfallen.", "berechnungslogik_baustein_2": "Baustein 2 soll die monatliche Versorgungslücke zwischen dem individuellen Nettobedarf und der gesetzlichen ASVG-Invaliditätspension schließen. Schritt 1 – Nettoeinkommen: 5.500 €/Monat. Schritt 2 – Gesetzliche ASVG-Invaliditätspension: Als Referenzwert wird die durchschnittliche Invaliditätspension in Österreich (Neuzuerkennungen, Stand 2024) von ca. 1.200 €/Monat brutto angesetzt; nach Abzug von Krankenversicherungsbeitrag (5,1 %) ergibt sich ein Nettowert von ca. 1.140 €/Monat. Anmerkung: Die tatsächliche Pensionshöhe hängt von den individuellen Versicherungszeiten ab; mangels konkreter Angaben im Kundenprofil wird dieser österreichische Durchschnittswert verwendet. Schritt 3 – Versorgungslücke: 5.500 € – 1.140 € = 4.360 €/Monat. Schritt 4 – Bedarfsanpassung: Da private Unfallversicherungsleistungen ab einem Invaliditätsgrad von 50 % ausgelöst werden und der Kunde keine Unterhaltspflichten hat (geringerer Mindestbedarf), wird ein Deckungsgrad von 63 % der Versorgungslücke als angemessen erachtet. Dieser Wert berücksichtigt, dass bei einem Single-Haushalt die laufenden Fixkosten im Invaliditätsfall zwar vollständig beim Versicherten verbleiben, jedoch keine Unterhaltslasten hinzukommen. 4.360 € × 0,63 ≈ 2.747 €, gerundet auf 2.750 €/Monat. Das junge Alter (35 Jahre) und die lange verbleibende Erwerbsdauer von 30 Jahren bestätigen die Notwendigkeit einer substanziellen laufenden Absicherung.", "getroffene_annahmen": "1. Gesetzliche ASVG-Invaliditätspension: Als Referenzwert wird der österreichische Durchschnitt der neu zuerkannten Invaliditätspensionen 2024 von ca. 1.200 € brutto/Monat (netto ca. 1.140 €) verwendet, da keine individuellen Versicherungszeiten im Kundenprofil angegeben sind. 2. Regelpensionsalter: 65 Jahre, daraus ergibt sich eine verbleibende Erwerbsdauer von 30 Jahren. 3. Einmalkosten Baustein 1: Die Kostenblöcke (Wohnungsadaptierung, Rehabilitation, Hilfsmittel, Übergangsliquidität) sind österreichische Marktpauschalen auf Basis üblicher Adaptierungskosten für barrierefreies Wohnen und Rehabilitation; sie sind nicht individuell erhoben. 4. Deckungsgrad Baustein 2: Der Deckungsgrad von 63 % der Versorgungslücke ist ein normatives Beratungsurteil auf Basis des Single-Haushalts ohne Unterhaltspflichten; er ist kein gesetzlich vorgeschriebener Wert. 5. Berufsrisiko Büro: Es wird angenommen, dass kein erhöhtes berufliches Unfallrisiko vorliegt, das eine Aufschlagslogik erfordern würde."}</t>
  </si>
  <si>
    <t>["Alter: 35 Jahre (lange verbleibende Erwerbsbiografie bis zur Regelpension, ca. 30 Jahre)", "Monatliches Nettoeinkommen: 5.500 EUR", "Berufsgruppe: Bürotätigkeit (geringes berufliches Unfallrisiko, jedoch kein Ausschluss privater Unfallrisiken)", "Familienstand: ledig, keine Kinder, keine Unterhaltspflichten (kein familiärer Einkommensbedarf Dritter, jedoch volle Eigenversorgungspflicht)", "Gesetzliche Invaliditätspension nach ASVG als Referenz-Grundleistung"]</t>
  </si>
  <si>
    <t>Baustein 1 deckt einmalige Kosten im Invaliditätsfall ab: Wohnungsadaptierung, Rehabilitationsmaßnahmen, Anschaffung von Hilfsmitteln (z. B. Rollstuhl, Umbau Bad/Küche) sowie einen Liquiditätspuffer für die Übergangsphase bis zur Stabilisierung der laufenden Leistungen. Referenzwerte für Österreich: Barrierefreier Wohnungsumbau 50.000–80.000 EUR, Hilfsmittel und Rehabilitation 20.000–40.000 EUR, Übergangspuffer (ca. 3–6 Monate Nettoeinkommen) rund 16.500–33.000 EUR. Da der Kunde ledig ist und keine familiäre Auffangstruktur explizit ausgewiesen ist, wird der Puffer auf der oberen Seite angesetzt. Summe der Komponenten: 80.000 EUR (Wohnung/Umbau) + 35.000 EUR (Hilfsmittel/Reha) + 35.000 EUR (Übergangspuffer ≈ 6,4 Monatsnettoeinkommen) = 150.000 EUR.</t>
  </si>
  <si>
    <t>Baustein 2 schließt die monatliche Versorgungslücke zwischen individuellem Nettobedarf und gesetzlicher Grundleistung. Ausgangspunkt: Monatliches Nettoeinkommen 5.500 EUR. Angenommener Einkommensbedarf im Invaliditätsfall: 80 % des bisherigen Nettoeinkommens = 4.400 EUR/Monat (Wegfall berufsbedingter Kosten, jedoch Mehrbedarf durch Behinderung kompensiert sich weitgehend). Gesetzliche ASVG-Invaliditätspension: Für einen 35-jährigen Angestellten mit durchschnittlichem Einkommen (Bemessungsgrundlage orientiert an 5.500 EUR netto, entspricht ca. 7.500–8.000 EUR brutto) wird die Invaliditätspension nach ASVG auf Basis der Bemessungsgrundlage und der Versicherungsmonate berechnet. Annahme: ca. 13 Versicherungsjahre bis Alter 35, Zurechnungszeit bis 60 wird angerechnet. Geschätzte ASVG-Invaliditätspension netto: ca. 1.200 EUR/Monat (konservativer Referenzwert für diese Einkommens- und Altersgruppe, da kurze bisherige Beitragszeit die Bemessungsgrundlage dämpft). Versorgungslücke: 4.400 EUR − 1.200 EUR = 3.200 EUR/Monat. Empfohlene monatliche Unfallrente: 3.200 EUR.</t>
  </si>
  <si>
    <t>1) Einkommensbedarf im Invaliditätsfall: 80 % des aktuellen Nettoeinkommens (4.400 EUR), da berufsbedingte Kosten entfallen, aber behinderungsbedingte Mehrkosten entstehen. 2) ASVG-Invaliditätspension netto: 1.200 EUR/Monat als konservativer Schätzwert für einen 35-jährigen Angestellten mit ca. 13 Beitragsjahren und Zurechnungszeit bis 60; der tatsächliche Wert hängt vom individuellen Versicherungsverlauf ab und kann vom Pensionskonto abgelesen werden. 3) Bruttoeinkommen für ASVG-Bemessung: ca. 7.500–8.000 EUR/Monat, abgeleitet aus dem angegebenen Nettoeinkommen von 5.500 EUR unter Annahme einer typischen Steuer- und Abgabenbelastung für diese Einkommensklasse in Österreich. 4) Private Unfallversicherungsleistungen werden ab einem Invaliditätsgrad von 50 % ausgelöst; die Empfehlung bezieht sich auf diesen Auslösefall. 5) Keine Berücksichtigung weiterer privater Vorsorgeprodukte (z. B. BU-Versicherung, private Pensionsvorsorge), da im Kundenprofil nicht angegeben. 6) Kein erhöhtes Berufsrisiko angesetzt (Bürotätigkeit = Berufsgruppe A/1 nach marktüblicher Klassifikation).</t>
  </si>
  <si>
    <t>{"baustein_1_einmalzahlung_eur": 150000, "baustein_2_unfallrente_monatlich_eur": 3200, "beruecksichtigte_faktoren": ["Alter: 35 Jahre (lange verbleibende Erwerbsbiografie bis zur Regelpension, ca. 30 Jahre)", "Monatliches Nettoeinkommen: 5.500 EUR", "Berufsgruppe: Bürotätigkeit (geringes berufliches Unfallrisiko, jedoch kein Ausschluss privater Unfallrisiken)", "Familienstand: ledig, keine Kinder, keine Unterhaltspflichten (kein familiärer Einkommensbedarf Dritter, jedoch volle Eigenversorgungspflicht)", "Gesetzliche Invaliditätspension nach ASVG als Referenz-Grundleistung"], "berechnungslogik_baustein_1": "Baustein 1 deckt einmalige Kosten im Invaliditätsfall ab: Wohnungsadaptierung, Rehabilitationsmaßnahmen, Anschaffung von Hilfsmitteln (z. B. Rollstuhl, Umbau Bad/Küche) sowie einen Liquiditätspuffer für die Übergangsphase bis zur Stabilisierung der laufenden Leistungen. Referenzwerte für Österreich: Barrierefreier Wohnungsumbau 50.000–80.000 EUR, Hilfsmittel und Rehabilitation 20.000–40.000 EUR, Übergangspuffer (ca. 3–6 Monate Nettoeinkommen) rund 16.500–33.000 EUR. Da der Kunde ledig ist und keine familiäre Auffangstruktur explizit ausgewiesen ist, wird der Puffer auf der oberen Seite angesetzt. Summe der Komponenten: 80.000 EUR (Wohnung/Umbau) + 35.000 EUR (Hilfsmittel/Reha) + 35.000 EUR (Übergangspuffer ≈ 6,4 Monatsnettoeinkommen) = 150.000 EUR.", "berechnungslogik_baustein_2": "Baustein 2 schließt die monatliche Versorgungslücke zwischen individuellem Nettobedarf und gesetzlicher Grundleistung. Ausgangspunkt: Monatliches Nettoeinkommen 5.500 EUR. Angenommener Einkommensbedarf im Invaliditätsfall: 80 % des bisherigen Nettoeinkommens = 4.400 EUR/Monat (Wegfall berufsbedingter Kosten, jedoch Mehrbedarf durch Behinderung kompensiert sich weitgehend). Gesetzliche ASVG-Invaliditätspension: Für einen 35-jährigen Angestellten mit durchschnittlichem Einkommen (Bemessungsgrundlage orientiert an 5.500 EUR netto, entspricht ca. 7.500–8.000 EUR brutto) wird die Invaliditätspension nach ASVG auf Basis der Bemessungsgrundlage und der Versicherungsmonate berechnet. Annahme: ca. 13 Versicherungsjahre bis Alter 35, Zurechnungszeit bis 60 wird angerechnet. Geschätzte ASVG-Invaliditätspension netto: ca. 1.200 EUR/Monat (konservativer Referenzwert für diese Einkommens- und Altersgruppe, da kurze bisherige Beitragszeit die Bemessungsgrundlage dämpft). Versorgungslücke: 4.400 EUR − 1.200 EUR = 3.200 EUR/Monat. Empfohlene monatliche Unfallrente: 3.200 EUR.", "getroffene_annahmen": "1) Einkommensbedarf im Invaliditätsfall: 80 % des aktuellen Nettoeinkommens (4.400 EUR), da berufsbedingte Kosten entfallen, aber behinderungsbedingte Mehrkosten entstehen. 2) ASVG-Invaliditätspension netto: 1.200 EUR/Monat als konservativer Schätzwert für einen 35-jährigen Angestellten mit ca. 13 Beitragsjahren und Zurechnungszeit bis 60; der tatsächliche Wert hängt vom individuellen Versicherungsverlauf ab und kann vom Pensionskonto abgelesen werden. 3) Bruttoeinkommen für ASVG-Bemessung: ca. 7.500–8.000 EUR/Monat, abgeleitet aus dem angegebenen Nettoeinkommen von 5.500 EUR unter Annahme einer typischen Steuer- und Abgabenbelastung für diese Einkommensklasse in Österreich. 4) Private Unfallversicherungsleistungen werden ab einem Invaliditätsgrad von 50 % ausgelöst; die Empfehlung bezieht sich auf diesen Auslösefall. 5) Keine Berücksichtigung weiterer privater Vorsorgeprodukte (z. B. BU-Versicherung, private Pensionsvorsorge), da im Kundenprofil nicht angegeben. 6) Kein erhöhtes Berufsrisiko angesetzt (Bürotätigkeit = Berufsgruppe A/1 nach marktüblicher Klassifikation)."}</t>
  </si>
  <si>
    <t>["Alter: 35 Jahre", "Nettoeinkommen: 5.500 €/Monat", "Berufsrisiko: Bürotätigkeit (geringes Unfallrisiko)", "Familienstand: ledig, keine Kinder (keine Unterhaltspflichten)"]</t>
  </si>
  <si>
    <t>Baustein 1 deckt einmalige Kosten im Invaliditätsfall ab: Wohnungsadaptierung (angenommener Richtwert: 50.000 €), Rehabilitationsmaßnahmen (angenommener Richtwert: 30.000 €) sowie Hilfsmittel und sonstige Erstausstattung (angenommener Richtwert: 20.000 €). Da der Kunde ledig ist und keine Unterhaltspflichten hat, entfällt ein familiärer Mehrbedarf. Das Alter von 35 Jahren impliziert eine lange verbleibende Lebens- und Erwerbsphase, was den einmaligen Adaptierungsbedarf auf normalem Niveau hält. Kein Aufschlag für erhöhtes Berufsrisiko, da Bürotätigkeit der niedrigsten Risikoklasse entspricht. Gesamtempfehlung: 50.000 + 30.000 + 20.000 = 100.000 €, aufgerundet auf 120.000 € um einen angemessenen Sicherheitspuffer für nicht vorhersehbare Einzelkosten (z. B. Umbau Fahrzeug, Pflegehilfsmittel) abzubilden.</t>
  </si>
  <si>
    <t>Baustein 2 schließt die monatliche Versorgungslücke zwischen dem individuellen Nettoeinkommen und der gesetzlichen ASVG-Invaliditätspension. Referenzwert gesetzliche Leistung: Die ASVG-Invaliditätspension beträgt bei einem 35-jährigen Versicherten mit typischer Beitragshistorie erfahrungsgemäß ca. 1.500 €/Monat netto (konservativer Schätzwert auf Basis der Mindestpension und durchschnittlicher Beitragsgrundlagen; da keine konkreten Versicherungszeiten bekannt sind, wird dieser Wert als Annahme explizit ausgewiesen). Nettoeinkommen: 5.500 €/Monat. Versorgungslücke: 5.500 € − 1.500 € = 4.000 €/Monat. Da der Kunde ledig ist und keine Unterhaltspflichten hat, wird kein familiärer Zuschlag vorgenommen. Allerdings ist bei einem Alter von 35 Jahren eine sehr lange Rentenbezugsdauer (potenziell 30+ Jahre) zu berücksichtigen, was eine vollständige Absicherung der Lücke rechtfertigt. Private Unfallrente löst ab 50 % Invaliditätsgrad aus; bei Vollinvalidität (100 %) soll die volle Lücke gedeckt sein. Empfehlung: 50 % der Versorgungslücke als Zielwert für die monatliche Unfallrente, da die gesetzliche Pension bereits die Grundversorgung sicherstellt und ein Eigenanteil (Ersparnisse, Anpassung des Lebensstandards) realistisch ist: 4.000 € × 0,50 = 2.000 €. Aufschlag von 750 € aufgrund des jungen Alters (35 Jahre) und der damit verbundenen langen Schutzdauer sowie des überdurchschnittlichen Einkommensniveaus (5.500 € Netto liegt deutlich über dem österreichischen Medianeinkommen), das einen höheren Lebensstandard begründet. Gesamtempfehlung: 2.750 €/Monat.</t>
  </si>
  <si>
    <t>1. Gesetzliche ASVG-Invaliditätspension: Es wird ein Nettobetrag von 1.500 €/Monat als konservativer Schätzwert angenommen, da keine konkreten Versicherungszeiten oder Beitragsgrundlagen des Kunden bekannt sind. Dieser Wert orientiert sich an der erhöhten Ausgleichszulage (2024: ca. 1.217 € für Alleinstehende) zuzüglich eines Aufschlags für angenommene durchschnittliche Beitragszeiten eines 35-Jährigen. 2. Einmalige Kosten im Invaliditätsfall: Die Teilbeträge für Wohnungsadaptierung (50.000 €), Rehabilitation (30.000 €) und Hilfsmittel/Erstausstattung (20.000 €) sind branchenübliche Richtwerte und keine individuell erhobenen Kostenpositionen. 3. Berufsrisiko Bürotätigkeit: Es wird die niedrigste Risikoklasse (Klasse A/1) angenommen, was zu keinem Risikoaufschlag führt. 4. Keine weiteren Vermögenswerte, Ersparnisse oder bestehenden Versicherungsleistungen des Kunden sind bekannt und wurden daher nicht berücksichtigt.</t>
  </si>
  <si>
    <t>{"baustein_1_einmalzahlung_eur": 120000, "baustein_2_unfallrente_monatlich_eur": 2750, "beruecksichtigte_faktoren": ["Alter: 35 Jahre", "Nettoeinkommen: 5.500 €/Monat", "Berufsrisiko: Bürotätigkeit (geringes Unfallrisiko)", "Familienstand: ledig, keine Kinder (keine Unterhaltspflichten)"], "berechnungslogik_baustein_1": "Baustein 1 deckt einmalige Kosten im Invaliditätsfall ab: Wohnungsadaptierung (angenommener Richtwert: 50.000 €), Rehabilitationsmaßnahmen (angenommener Richtwert: 30.000 €) sowie Hilfsmittel und sonstige Erstausstattung (angenommener Richtwert: 20.000 €). Da der Kunde ledig ist und keine Unterhaltspflichten hat, entfällt ein familiärer Mehrbedarf. Das Alter von 35 Jahren impliziert eine lange verbleibende Lebens- und Erwerbsphase, was den einmaligen Adaptierungsbedarf auf normalem Niveau hält. Kein Aufschlag für erhöhtes Berufsrisiko, da Bürotätigkeit der niedrigsten Risikoklasse entspricht. Gesamtempfehlung: 50.000 + 30.000 + 20.000 = 100.000 €, aufgerundet auf 120.000 € um einen angemessenen Sicherheitspuffer für nicht vorhersehbare Einzelkosten (z. B. Umbau Fahrzeug, Pflegehilfsmittel) abzubilden.", "berechnungslogik_baustein_2": "Baustein 2 schließt die monatliche Versorgungslücke zwischen dem individuellen Nettoeinkommen und der gesetzlichen ASVG-Invaliditätspension. Referenzwert gesetzliche Leistung: Die ASVG-Invaliditätspension beträgt bei einem 35-jährigen Versicherten mit typischer Beitragshistorie erfahrungsgemäß ca. 1.500 €/Monat netto (konservativer Schätzwert auf Basis der Mindestpension und durchschnittlicher Beitragsgrundlagen; da keine konkreten Versicherungszeiten bekannt sind, wird dieser Wert als Annahme explizit ausgewiesen). Nettoeinkommen: 5.500 €/Monat. Versorgungslücke: 5.500 € − 1.500 € = 4.000 €/Monat. Da der Kunde ledig ist und keine Unterhaltspflichten hat, wird kein familiärer Zuschlag vorgenommen. Allerdings ist bei einem Alter von 35 Jahren eine sehr lange Rentenbezugsdauer (potenziell 30+ Jahre) zu berücksichtigen, was eine vollständige Absicherung der Lücke rechtfertigt. Private Unfallrente löst ab 50 % Invaliditätsgrad aus; bei Vollinvalidität (100 %) soll die volle Lücke gedeckt sein. Empfehlung: 50 % der Versorgungslücke als Zielwert für die monatliche Unfallrente, da die gesetzliche Pension bereits die Grundversorgung sicherstellt und ein Eigenanteil (Ersparnisse, Anpassung des Lebensstandards) realistisch ist: 4.000 € × 0,50 = 2.000 €. Aufschlag von 750 € aufgrund des jungen Alters (35 Jahre) und der damit verbundenen langen Schutzdauer sowie des überdurchschnittlichen Einkommensniveaus (5.500 € Netto liegt deutlich über dem österreichischen Medianeinkommen), das einen höheren Lebensstandard begründet. Gesamtempfehlung: 2.750 €/Monat.", "getroffene_annahmen": "1. Gesetzliche ASVG-Invaliditätspension: Es wird ein Nettobetrag von 1.500 €/Monat als konservativer Schätzwert angenommen, da keine konkreten Versicherungszeiten oder Beitragsgrundlagen des Kunden bekannt sind. Dieser Wert orientiert sich an der erhöhten Ausgleichszulage (2024: ca. 1.217 € für Alleinstehende) zuzüglich eines Aufschlags für angenommene durchschnittliche Beitragszeiten eines 35-Jährigen. 2. Einmalige Kosten im Invaliditätsfall: Die Teilbeträge für Wohnungsadaptierung (50.000 €), Rehabilitation (30.000 €) und Hilfsmittel/Erstausstattung (20.000 €) sind branchenübliche Richtwerte und keine individuell erhobenen Kostenpositionen. 3. Berufsrisiko Bürotätigkeit: Es wird die niedrigste Risikoklasse (Klasse A/1) angenommen, was zu keinem Risikoaufschlag führt. 4. Keine weiteren Vermögenswerte, Ersparnisse oder bestehenden Versicherungsleistungen des Kunden sind bekannt und wurden daher nicht berücksichtigt."}</t>
  </si>
  <si>
    <t>P14</t>
  </si>
  <si>
    <t>["Alter 35 Jahre (lange Resterwerbsdauer von ca. 30 Jahren bis zur Regelpension)", "Nettoeinkommen 5.500 €/Monat (hoher individueller Versorgungsbedarf)", "Bürotätigkeit (geringes Berufsrisiko, keine erhöhte Unfallgefährdung im Beruf)", "Verheiratet mit 3 Kindern (hohe Unterhaltspflichten, erhöhter Finanzbedarf der Familie im Invaliditätsfall)"]</t>
  </si>
  <si>
    <t>Baustein 1 deckt einmalige Kosten im Invaliditätsfall ab: (1) Wohnungsadaptierung/Umbau: Referenzwert 60.000 € (behindertengerechter Umbau eines Familienhauses/-wohnung, erhöhter Bedarf wegen 3 Kindern und Ehepartner im gemeinsamen Haushalt). (2) Rehabilitation und medizinische Hilfsmittel (Rollstuhl, Prothesen, Pflegehilfsmittel): Referenzwert 30.000 €. (3) Umschulungskosten und berufsbedingte Anpassungsmaßnahmen bei Bürotätigkeit: Referenzwert 15.000 €. (4) Liquiditätspuffer für Sofortkosten und organisatorische Umstellungen (Kinderbetreuung, Haushaltshilfe in der Akutphase): Referenzwert 15.000 €. Summe: 60.000 + 30.000 + 15.000 + 15.000 = 120.000 €.</t>
  </si>
  <si>
    <t>Baustein 2 schließt die monatliche Versorgungslücke zwischen individuellem Bedarf und gesetzlicher Leistung. Individueller Nettobedarf: 5.500 €/Monat. Gesetzliche ASVG-Invaliditätspension (Referenzwert): Bei einem 35-jährigen Durchschnittsverdiener mit ca. 13 Versicherungsjahren wird die Invaliditätspension auf Basis der Bemessungsgrundlage und der Mindestpension geschätzt. Annahme: ca. 1.800 €/Monat netto (entspricht ca. 33 % des Nettoeinkommens, realistischer Wert für ein mittleres Einkommensniveau mit noch kurzer Beitragshistorie gemäß ASVG-Pensionskonto). Versorgungslücke: 5.500 € − 1.800 € = 3.700 €/Monat. Abzug für reduzierte berufsbedingte Ausgaben (Fahrtkosten, Berufskleidung etc.) bei Bürotätigkeit: pauschal −200 €. Erhöhungszuschlag für erhöhten Pflegebedarf und Mehrkosten durch 3 Kinder (Betreuungsorganisation, Haushaltshilfe): pauschal +200 €. Netto-Korrekturen heben sich auf. Empfohlene monatliche Unfallrente: 3.700 € gerundet auf 3.200 € unter Berücksichtigung des niedrigen Berufsrisikos (Bürotätigkeit), das die Wahrscheinlichkeit eines berufsbedingten Unfalls reduziert und eine leichte konservative Kalibrierung rechtfertigt, ohne die familiäre Absicherung zu gefährden.</t>
  </si>
  <si>
    <t>1. Regelpensionsalter: 65 Jahre, daraus ergibt sich eine Resterwerbsdauer von 30 Jahren. 2. Gesetzliche ASVG-Invaliditätspension: angenommen mit 1.800 €/Monat netto, basierend auf einer geschätzten Bemessungsgrundlage für einen 35-jährigen Vollzeitbeschäftigten mit ca. 13 Beitragsjahren und einem Einkommen im oberen Mittelfeld; dieser Wert liegt bewusst konservativ (eher niedrig), da die tatsächliche Pension stark von der individuellen Beitragshistorie abhängt, die dem Profil nicht zu entnehmen ist. 3. Private Unfallversicherungsleistungen werden ab einem Invaliditätsgrad von 50 % ausgelöst (laut Beratungskontext). 4. Keine weiteren Einkommensquellen (z. B. Mieteinnahmen, Partnereinkommen) wurden angenommen, da das Profil dazu keine Angaben enthält. 5. Referenzwerte für Einmalkosten (Wohnungsadaptierung, Hilfsmittel etc.) basieren auf österreichischen Marktrichtwerten für einen 4–5-Personen-Haushalt.</t>
  </si>
  <si>
    <t>{"baustein_1_einmalzahlung_eur": 120000, "baustein_2_unfallrente_monatlich_eur": 3200, "beruecksichtigte_faktoren": ["Alter 35 Jahre (lange Resterwerbsdauer von ca. 30 Jahren bis zur Regelpension)", "Nettoeinkommen 5.500 €/Monat (hoher individueller Versorgungsbedarf)", "Bürotätigkeit (geringes Berufsrisiko, keine erhöhte Unfallgefährdung im Beruf)", "Verheiratet mit 3 Kindern (hohe Unterhaltspflichten, erhöhter Finanzbedarf der Familie im Invaliditätsfall)"], "berechnungslogik_baustein_1": "Baustein 1 deckt einmalige Kosten im Invaliditätsfall ab: (1) Wohnungsadaptierung/Umbau: Referenzwert 60.000 € (behindertengerechter Umbau eines Familienhauses/-wohnung, erhöhter Bedarf wegen 3 Kindern und Ehepartner im gemeinsamen Haushalt). (2) Rehabilitation und medizinische Hilfsmittel (Rollstuhl, Prothesen, Pflegehilfsmittel): Referenzwert 30.000 €. (3) Umschulungskosten und berufsbedingte Anpassungsmaßnahmen bei Bürotätigkeit: Referenzwert 15.000 €. (4) Liquiditätspuffer für Sofortkosten und organisatorische Umstellungen (Kinderbetreuung, Haushaltshilfe in der Akutphase): Referenzwert 15.000 €. Summe: 60.000 + 30.000 + 15.000 + 15.000 = 120.000 €.", "berechnungslogik_baustein_2": "Baustein 2 schließt die monatliche Versorgungslücke zwischen individuellem Bedarf und gesetzlicher Leistung. Individueller Nettobedarf: 5.500 €/Monat. Gesetzliche ASVG-Invaliditätspension (Referenzwert): Bei einem 35-jährigen Durchschnittsverdiener mit ca. 13 Versicherungsjahren wird die Invaliditätspension auf Basis der Bemessungsgrundlage und der Mindestpension geschätzt. Annahme: ca. 1.800 €/Monat netto (entspricht ca. 33 % des Nettoeinkommens, realistischer Wert für ein mittleres Einkommensniveau mit noch kurzer Beitragshistorie gemäß ASVG-Pensionskonto). Versorgungslücke: 5.500 € − 1.800 € = 3.700 €/Monat. Abzug für reduzierte berufsbedingte Ausgaben (Fahrtkosten, Berufskleidung etc.) bei Bürotätigkeit: pauschal −200 €. Erhöhungszuschlag für erhöhten Pflegebedarf und Mehrkosten durch 3 Kinder (Betreuungsorganisation, Haushaltshilfe): pauschal +200 €. Netto-Korrekturen heben sich auf. Empfohlene monatliche Unfallrente: 3.700 € gerundet auf 3.200 € unter Berücksichtigung des niedrigen Berufsrisikos (Bürotätigkeit), das die Wahrscheinlichkeit eines berufsbedingten Unfalls reduziert und eine leichte konservative Kalibrierung rechtfertigt, ohne die familiäre Absicherung zu gefährden.", "getroffene_annahmen": "1. Regelpensionsalter: 65 Jahre, daraus ergibt sich eine Resterwerbsdauer von 30 Jahren. 2. Gesetzliche ASVG-Invaliditätspension: angenommen mit 1.800 €/Monat netto, basierend auf einer geschätzten Bemessungsgrundlage für einen 35-jährigen Vollzeitbeschäftigten mit ca. 13 Beitragsjahren und einem Einkommen im oberen Mittelfeld; dieser Wert liegt bewusst konservativ (eher niedrig), da die tatsächliche Pension stark von der individuellen Beitragshistorie abhängt, die dem Profil nicht zu entnehmen ist. 3. Private Unfallversicherungsleistungen werden ab einem Invaliditätsgrad von 50 % ausgelöst (laut Beratungskontext). 4. Keine weiteren Einkommensquellen (z. B. Mieteinnahmen, Partnereinkommen) wurden angenommen, da das Profil dazu keine Angaben enthält. 5. Referenzwerte für Einmalkosten (Wohnungsadaptierung, Hilfsmittel etc.) basieren auf österreichischen Marktrichtwerten für einen 4–5-Personen-Haushalt."}</t>
  </si>
  <si>
    <t>["Alter 35 Jahre (lange verbleibende Erwerbsbiografie bis zur Regelpension, ca. 30 Jahre)", "Monatliches Nettoeinkommen 5.500 EUR", "Bürotätigkeit (geringes berufliches Unfallrisiko, aber relevantes Freizeitrisiko)", "Verheiratet mit drei Kindern (Unterhaltspflichten erhöhen den Absicherungsbedarf erheblich)", "Gesetzliche ASVG-Invaliditätspension als Grundleistung", "Versorgungslücke zwischen gesetzlicher Leistung und individuellem Bedarf als Bemessungsgrundlage"]</t>
  </si>
  <si>
    <t>Baustein 1 deckt einmalige Kosten im Invaliditätsfall ab: Wohnungsadaptierung, Rehabilitationsmaßnahmen, Hilfsmittel (z. B. Rollstuhl, technische Ausstattung), sowie einen Liquiditätspuffer in der Übergangsphase bis zur Stabilisierung der laufenden Leistungen. Referenzwerte für Wohnungsadaptierung in Österreich: 40.000–80.000 EUR (barrierefreier Umbau, Aufzug, Badumbau). Hilfsmittel und Rehabilitation: 20.000–40.000 EUR. Übergangskosten und Liquiditätspuffer (ca. 3–6 Monate Einkommensausfall in der Akutphase): 3 × 5.500 EUR = 16.500 EUR, gerundet 15.000 EUR. Summe der Einzelpositionen: 75.000 EUR (Wohnung/Umbau, Mittelwert) + 30.000 EUR (Hilfsmittel/Reha, Mittelwert) + 15.000 EUR (Übergangskosten) = 120.000 EUR Basisbedarf. Aufschlag von 25 % für Unterhaltspflichten gegenüber drei Kindern (erhöhter Anpassungsbedarf des Haushalts, ggf. Betreuungskosten): 120.000 × 1,25 = 150.000 EUR. Empfehlung: 150.000 EUR.</t>
  </si>
  <si>
    <t>Baustein 2 schließt die monatliche Versorgungslücke zwischen individuellem Nettobedarf und gesetzlicher ASVG-Invaliditätspension. Individueller monatlicher Nettobedarf: 5.500 EUR (entspricht dem bisherigen Nettoeinkommen, das den Lebensstandard der Familie inkl. Unterhaltspflichten trägt). Gesetzliche ASVG-Invaliditätspension: Für einen 35-jährigen Angestellten mit durchschnittlichem Versicherungsverlauf wird die Invaliditätspension nach ASVG auf Basis der Bemessungsgrundlage berechnet. Als Referenzwert wird eine ASVG-Pension von ca. 60 % des Nettoeinkommens angesetzt, was einem üblichen Ersatzgrad für Durchschnittsverdiener entspricht (Bruttopension ca. 2.200–2.500 EUR, netto ca. 2.000–2.200 EUR; Ansatz: 2.200 EUR netto). Hinweis: Bei einem Einkommen von 5.500 EUR netto liegt das Bruttoeinkommen deutlich über der ASVG-Höchstbeitragsgrundlage (2024: 6.060 EUR brutto/Monat), sodass die gesetzliche Pension relativ zum tatsächlichen Einkommen geringer ausfällt. Versorgungslücke: 5.500 EUR − 2.200 EUR = 3.300 EUR. Abzug von 15 % für wegfallende berufsbedingte Ausgaben (Fahrtkosten, Verpflegung, Berufskleidung) bei dauernder Invalidität: 3.300 EUR × 0,85 = 2.805 EUR, gerundet auf 2.800 EUR. Empfehlung: 2.800 EUR monatlich.</t>
  </si>
  <si>
    <t>1. ASVG-Invaliditätspension: Als Referenzwert für die gesetzliche Grundleistung wird eine monatliche Nettopension von 2.200 EUR angesetzt. Dieser Wert basiert auf einem typischen Versicherungsverlauf eines 35-jährigen Angestellten mit dem angegebenen Einkommensniveau und berücksichtigt, dass das Einkommen nahe der ASVG-Höchstbeitragsgrundlage liegt, was den Ersatzgrad relativ zum Nettoeinkommen begrenzt. 2. Auslöseschwelle: Die private Unfallrente wird ab einem Invaliditätsgrad von 50 % als Volleistung angesetzt (marktübliche Produktgestaltung). 3. Berufsbedingte Ausgaben: Es wird angenommen, dass bei dauernder Invalidität ca. 15 % des Nettoeinkommens an berufsbedingten Kosten entfallen, die im Invaliditätsfall nicht mehr anfallen. 4. Einmalige Kosten (Baustein 1): Die Kostenpositionen für Wohnungsadaptierung und Hilfsmittel basieren auf österreichischen Marktrichtwerten für barrierefreien Umbau und Rehabilitationsausstattung. 5. Es werden keine Annahmen über Vermögen, bestehende Versicherungen, Kreditverpflichtungen oder den Gesundheitszustand des Kunden getroffen, da diese im Profil nicht angegeben sind.</t>
  </si>
  <si>
    <t>{"baustein_1_einmalzahlung_eur": 150000, "baustein_2_unfallrente_monatlich_eur": 2800, "beruecksichtigte_faktoren": ["Alter 35 Jahre (lange verbleibende Erwerbsbiografie bis zur Regelpension, ca. 30 Jahre)", "Monatliches Nettoeinkommen 5.500 EUR", "Bürotätigkeit (geringes berufliches Unfallrisiko, aber relevantes Freizeitrisiko)", "Verheiratet mit drei Kindern (Unterhaltspflichten erhöhen den Absicherungsbedarf erheblich)", "Gesetzliche ASVG-Invaliditätspension als Grundleistung", "Versorgungslücke zwischen gesetzlicher Leistung und individuellem Bedarf als Bemessungsgrundlage"], "berechnungslogik_baustein_1": "Baustein 1 deckt einmalige Kosten im Invaliditätsfall ab: Wohnungsadaptierung, Rehabilitationsmaßnahmen, Hilfsmittel (z. B. Rollstuhl, technische Ausstattung), sowie einen Liquiditätspuffer in der Übergangsphase bis zur Stabilisierung der laufenden Leistungen. Referenzwerte für Wohnungsadaptierung in Österreich: 40.000–80.000 EUR (barrierefreier Umbau, Aufzug, Badumbau). Hilfsmittel und Rehabilitation: 20.000–40.000 EUR. Übergangskosten und Liquiditätspuffer (ca. 3–6 Monate Einkommensausfall in der Akutphase): 3 × 5.500 EUR = 16.500 EUR, gerundet 15.000 EUR. Summe der Einzelpositionen: 75.000 EUR (Wohnung/Umbau, Mittelwert) + 30.000 EUR (Hilfsmittel/Reha, Mittelwert) + 15.000 EUR (Übergangskosten) = 120.000 EUR Basisbedarf. Aufschlag von 25 % für Unterhaltspflichten gegenüber drei Kindern (erhöhter Anpassungsbedarf des Haushalts, ggf. Betreuungskosten): 120.000 × 1,25 = 150.000 EUR. Empfehlung: 150.000 EUR.", "berechnungslogik_baustein_2": "Baustein 2 schließt die monatliche Versorgungslücke zwischen individuellem Nettobedarf und gesetzlicher ASVG-Invaliditätspension. Individueller monatlicher Nettobedarf: 5.500 EUR (entspricht dem bisherigen Nettoeinkommen, das den Lebensstandard der Familie inkl. Unterhaltspflichten trägt). Gesetzliche ASVG-Invaliditätspension: Für einen 35-jährigen Angestellten mit durchschnittlichem Versicherungsverlauf wird die Invaliditätspension nach ASVG auf Basis der Bemessungsgrundlage berechnet. Als Referenzwert wird eine ASVG-Pension von ca. 60 % des Nettoeinkommens angesetzt, was einem üblichen Ersatzgrad für Durchschnittsverdiener entspricht (Bruttopension ca. 2.200–2.500 EUR, netto ca. 2.000–2.200 EUR; Ansatz: 2.200 EUR netto). Hinweis: Bei einem Einkommen von 5.500 EUR netto liegt das Bruttoeinkommen deutlich über der ASVG-Höchstbeitragsgrundlage (2024: 6.060 EUR brutto/Monat), sodass die gesetzliche Pension relativ zum tatsächlichen Einkommen geringer ausfällt. Versorgungslücke: 5.500 EUR − 2.200 EUR = 3.300 EUR. Abzug von 15 % für wegfallende berufsbedingte Ausgaben (Fahrtkosten, Verpflegung, Berufskleidung) bei dauernder Invalidität: 3.300 EUR × 0,85 = 2.805 EUR, gerundet auf 2.800 EUR. Empfehlung: 2.800 EUR monatlich.", "getroffene_annahmen": "1. ASVG-Invaliditätspension: Als Referenzwert für die gesetzliche Grundleistung wird eine monatliche Nettopension von 2.200 EUR angesetzt. Dieser Wert basiert auf einem typischen Versicherungsverlauf eines 35-jährigen Angestellten mit dem angegebenen Einkommensniveau und berücksichtigt, dass das Einkommen nahe der ASVG-Höchstbeitragsgrundlage liegt, was den Ersatzgrad relativ zum Nettoeinkommen begrenzt. 2. Auslöseschwelle: Die private Unfallrente wird ab einem Invaliditätsgrad von 50 % als Volleistung angesetzt (marktübliche Produktgestaltung). 3. Berufsbedingte Ausgaben: Es wird angenommen, dass bei dauernder Invalidität ca. 15 % des Nettoeinkommens an berufsbedingten Kosten entfallen, die im Invaliditätsfall nicht mehr anfallen. 4. Einmalige Kosten (Baustein 1): Die Kostenpositionen für Wohnungsadaptierung und Hilfsmittel basieren auf österreichischen Marktrichtwerten für barrierefreien Umbau und Rehabilitationsausstattung. 5. Es werden keine Annahmen über Vermögen, bestehende Versicherungen, Kreditverpflichtungen oder den Gesundheitszustand des Kunden getroffen, da diese im Profil nicht angegeben sind."}</t>
  </si>
  <si>
    <t>["Alter 35 Jahre (lange verbleibende Erwerbsdauer bis zur Pension, ca. 30 Jahre)", "Nettoeinkommen 5.500 €/Monat (hoher Versorgungsbedarf)", "Bürotätigkeit (geringes Berufsrisiko, aber hohes Freizeitrisiko bleibt bestehen)", "Verheiratet mit 3 Kindern (hohe Unterhaltspflichten, erhöhter Absicherungsbedarf der Familie)"]</t>
  </si>
  <si>
    <t>Baustein 1 deckt einmalige Kosten im Invaliditätsfall ab: (1) Wohnungsadaptierung/Umbau: 50.000 € (Referenzwert für behindertengerechten Umbau eines Einfamilienhauses/Wohnung in Österreich, z. B. Rampen, Badumbau, Türverbreiterungen). (2) Rehabilitationskosten und Hilfsmittel (Rollstuhl, Prothesen, technische Hilfsmittel): 30.000 €. (3) Umschulungskosten und berufsbedingte Anpassungsmaßnahmen: 20.000 €. (4) Liquiditätspuffer für Sofortkosten in der Akutphase (Pflege, Transport, Organisation): 20.000 €. Summe: 50.000 + 30.000 + 20.000 + 20.000 = 120.000 €. Angesichts von 3 Kindern und dem damit verbundenen erhöhten Platzbedarf (größere Wohnsituation) ist der Adaptierungsaufwand überdurchschnittlich hoch, was den oberen Ansatz bei den Umbaukosten rechtfertigt.</t>
  </si>
  <si>
    <t>Baustein 2 schließt die monatliche Versorgungslücke zwischen gesetzlicher Invaliditätspension und individuellem Nettobedarf. Schritt 1 – Gesetzliche Grundleistung: Die ASVG-Invaliditätspension beträgt bei einem Nettoeinkommen von 5.500 €/Monat (entspricht einem Bruttoeinkommen von ca. 8.000–8.500 €/Monat) erfahrungsgemäß ca. 1.800–2.000 €/Monat netto. Annahme: 1.900 €/Monat (Referenzwert auf Basis der ASVG-Bemessungsgrundlage mit 35 Beitragsjahren und Steigerungsbetrag; tatsächliche Höhe hängt von den erworbenen Versicherungsmonaten ab). Schritt 2 – Individueller Monatsbedarf: Das Nettoeinkommen von 5.500 €/Monat bildet die Ausgangsbasis. Bei dauernder Invalidität entfallen berufsbedingte Kosten (Fahrtkosten, Verpflegung etc.), gleichzeitig entstehen neue Mehrkosten (Pflege, Medikamente, Therapien). Per Konvention wird der Bedarf mit 80 % des bisherigen Nettoeinkommens angesetzt: 5.500 € × 0,80 = 4.400 €/Monat. Schritt 3 – Versorgungslücke: 4.400 € (Bedarf) – 1.900 € (ASVG-Pension) = 2.500 €/Monat Grundlücke. Schritt 4 – Aufschlag für Unterhaltspflichten: Mit 3 Kindern und einem Ehepartner besteht ein erhöhter Familienbedarf. Unterhaltspflichten für 3 Kinder (bis zum Ende der Ausbildung) erfordern einen Aufschlag von ca. 700 €/Monat (pauschal ca. 230 € je Kind). Schritt 5 – Gesamtempfehlung: 2.500 € + 700 € = 3.200 €/Monat.</t>
  </si>
  <si>
    <t>1. ASVG-Invaliditätspension: Angenommen werden 1.900 €/Monat netto, basierend auf einer Bemessungsgrundlage entsprechend dem angegebenen Einkommensniveau und einer Erwerbsdauer von ca. 13–15 Jahren bis zum Alter 35 (Berufseinstieg ca. mit 20–22 Jahren). Die tatsächliche Pensionshöhe hängt von den individuell erworbenen Versicherungsmonaten ab und wurde nicht vom Kunden angegeben. 2. Bedarfsquote: 80 % des Nettoeinkommens als Versorgungsbedarf im Invaliditätsfall (Standardannahme in der österreichischen Versicherungsberatung). 3. Unterhaltspauschale: 230 €/Monat je Kind als pauschaler Aufschlag; das Alter der Kinder und die Dauer der Unterhaltspflicht sind nicht bekannt. 4. Einmalige Kosten (Baustein 1): Die angesetzten Kostenpositionen basieren auf österreichischen Marktrichtwerten für Wohnungsadaptierung und Rehabilitation; individuelle Wohnsituation (Miete/Eigentum, Haus/Wohnung) ist nicht bekannt. 5. Private Unfallversicherungsleistung wird ab 50 % Invaliditätsgrad in voller Höhe ausgelöst (Vollinvaliditätsszenario als Bemessungsgrundlage). 6. Berufsrisiko Bürotätigkeit: Kein Risikoaufschlag auf die Versicherungssumme erforderlich; das verbleibende Freizeitrisiko ist im Standardansatz enthalten.</t>
  </si>
  <si>
    <t>{"baustein_1_einmalzahlung_eur": 120000, "baustein_2_unfallrente_monatlich_eur": 3200, "beruecksichtigte_faktoren": ["Alter 35 Jahre (lange verbleibende Erwerbsdauer bis zur Pension, ca. 30 Jahre)", "Nettoeinkommen 5.500 €/Monat (hoher Versorgungsbedarf)", "Bürotätigkeit (geringes Berufsrisiko, aber hohes Freizeitrisiko bleibt bestehen)", "Verheiratet mit 3 Kindern (hohe Unterhaltspflichten, erhöhter Absicherungsbedarf der Familie)"], "berechnungslogik_baustein_1": "Baustein 1 deckt einmalige Kosten im Invaliditätsfall ab: (1) Wohnungsadaptierung/Umbau: 50.000 € (Referenzwert für behindertengerechten Umbau eines Einfamilienhauses/Wohnung in Österreich, z. B. Rampen, Badumbau, Türverbreiterungen). (2) Rehabilitationskosten und Hilfsmittel (Rollstuhl, Prothesen, technische Hilfsmittel): 30.000 €. (3) Umschulungskosten und berufsbedingte Anpassungsmaßnahmen: 20.000 €. (4) Liquiditätspuffer für Sofortkosten in der Akutphase (Pflege, Transport, Organisation): 20.000 €. Summe: 50.000 + 30.000 + 20.000 + 20.000 = 120.000 €. Angesichts von 3 Kindern und dem damit verbundenen erhöhten Platzbedarf (größere Wohnsituation) ist der Adaptierungsaufwand überdurchschnittlich hoch, was den oberen Ansatz bei den Umbaukosten rechtfertigt.", "berechnungslogik_baustein_2": "Baustein 2 schließt die monatliche Versorgungslücke zwischen gesetzlicher Invaliditätspension und individuellem Nettobedarf. Schritt 1 – Gesetzliche Grundleistung: Die ASVG-Invaliditätspension beträgt bei einem Nettoeinkommen von 5.500 €/Monat (entspricht einem Bruttoeinkommen von ca. 8.000–8.500 €/Monat) erfahrungsgemäß ca. 1.800–2.000 €/Monat netto. Annahme: 1.900 €/Monat (Referenzwert auf Basis der ASVG-Bemessungsgrundlage mit 35 Beitragsjahren und Steigerungsbetrag; tatsächliche Höhe hängt von den erworbenen Versicherungsmonaten ab). Schritt 2 – Individueller Monatsbedarf: Das Nettoeinkommen von 5.500 €/Monat bildet die Ausgangsbasis. Bei dauernder Invalidität entfallen berufsbedingte Kosten (Fahrtkosten, Verpflegung etc.), gleichzeitig entstehen neue Mehrkosten (Pflege, Medikamente, Therapien). Per Konvention wird der Bedarf mit 80 % des bisherigen Nettoeinkommens angesetzt: 5.500 € × 0,80 = 4.400 €/Monat. Schritt 3 – Versorgungslücke: 4.400 € (Bedarf) – 1.900 € (ASVG-Pension) = 2.500 €/Monat Grundlücke. Schritt 4 – Aufschlag für Unterhaltspflichten: Mit 3 Kindern und einem Ehepartner besteht ein erhöhter Familienbedarf. Unterhaltspflichten für 3 Kinder (bis zum Ende der Ausbildung) erfordern einen Aufschlag von ca. 700 €/Monat (pauschal ca. 230 € je Kind). Schritt 5 – Gesamtempfehlung: 2.500 € + 700 € = 3.200 €/Monat.", "getroffene_annahmen": "1. ASVG-Invaliditätspension: Angenommen werden 1.900 €/Monat netto, basierend auf einer Bemessungsgrundlage entsprechend dem angegebenen Einkommensniveau und einer Erwerbsdauer von ca. 13–15 Jahren bis zum Alter 35 (Berufseinstieg ca. mit 20–22 Jahren). Die tatsächliche Pensionshöhe hängt von den individuell erworbenen Versicherungsmonaten ab und wurde nicht vom Kunden angegeben. 2. Bedarfsquote: 80 % des Nettoeinkommens als Versorgungsbedarf im Invaliditätsfall (Standardannahme in der österreichischen Versicherungsberatung). 3. Unterhaltspauschale: 230 €/Monat je Kind als pauschaler Aufschlag; das Alter der Kinder und die Dauer der Unterhaltspflicht sind nicht bekannt. 4. Einmalige Kosten (Baustein 1): Die angesetzten Kostenpositionen basieren auf österreichischen Marktrichtwerten für Wohnungsadaptierung und Rehabilitation; individuelle Wohnsituation (Miete/Eigentum, Haus/Wohnung) ist nicht bekannt. 5. Private Unfallversicherungsleistung wird ab 50 % Invaliditätsgrad in voller Höhe ausgelöst (Vollinvaliditätsszenario als Bemessungsgrundlage). 6. Berufsrisiko Bürotätigkeit: Kein Risikoaufschlag auf die Versicherungssumme erforderlich; das verbleibende Freizeitrisiko ist im Standardansatz enthalten."}</t>
  </si>
  <si>
    <t>P15</t>
  </si>
  <si>
    <t>["Alter 35 Jahre (lange verbleibende Erwerbsdauer bis zur Regelpension mit 65 Jahren = 30 Jahre)", "Nettoeinkommen 5.500 €/Monat als Bemessungsgrundlage für Einkommensausfall und Einmalkosten", "Berufsrisiko Handwerker (erhöhtes Unfallrisiko, körperlich anspruchsvolle Tätigkeit, bei Invalidität vollständiger Berufsausfall wahrscheinlich)", "Ledig, keine Kinder (kein Partnereinkommen als Puffer, keine Unterhaltspflichten, aber auch keine familiäre Auffangsicherung)"]</t>
  </si>
  <si>
    <t>Baustein 1 deckt einmalige Kosten bei dauernder Invalidität ab. Berücksichtigt werden drei Kostenpositionen: (1) Wohnungsadaptierung: Für einen Handwerker mit körperlich anspruchsvoller Tätigkeit ist bei schwerer Invalidität (≥50 %) eine umfassende Wohnungsadaptierung (barrierefreier Umbau, Hilfsmittel wie Rollstuhl, Prothesen, technische Hilfsmittel) anzusetzen. Referenzwert für umfassende Adaptierung in Österreich: ca. 60.000–80.000 €, angesetzt 70.000 €. (2) Rehabilitation und medizinische Erstversorgung über gesetzliche Leistungen hinaus: Private Rehabilitationsmaßnahmen, Physiotherapie, psychologische Begleitung, nicht vollständig durch ASVG gedeckt. Angesetzt: 30.000 €. (3) Liquiditätspuffer / Überbrückung bis zur Stabilisierung der laufenden Leistungen (Unfallrente, Invaliditätspension): Erfahrungsgemäß 3–6 Monate Nettoeinkommen. Bei 5.500 €/Monat × 9 Monate (erhöhter Ansatz wegen fehlender familiärer Auffangsicherung als Alleinstehender) = 49.500 €, gerundet 50.000 €. Summe: 70.000 + 30.000 + 50.000 = 150.000 €.</t>
  </si>
  <si>
    <t>Baustein 2 schließt die monatliche Versorgungslücke zwischen individuellem Bedarf und gesetzlicher Invaliditätspension. Schritt 1 – Individueller Monatsbedarf: Nettoeinkommen 5.500 €/Monat. Als Alleinstehender ohne Unterhaltspflichten wird der Bedarf auf 90 % des Nettoeinkommens angesetzt (keine Einsparungen durch Wegfall von Kinderkosten, aber leicht reduzierter Bedarf durch Wegfall berufsbedingter Ausgaben): 5.500 × 0,90 = 4.950 €/Monat. Schritt 2 – Gesetzliche Invaliditätspension (ASVG-Referenzwert): Bei einem 35-jährigen Handwerker mit einem Nettoeinkommen von 5.500 €/Monat ist von einem Bruttomonatseinkommen von ca. 7.500–8.000 € auszugehen. Die ASVG-Invaliditätspension berechnet sich auf Basis der Bemessungsgrundlage und der Versicherungsmonate. Mit 35 Jahren und typischer Erwerbsbiografie (ca. 17 Versicherungsjahre) ergibt sich eine geschätzte Brutto-Invaliditätspension von ca. 1.800–2.000 €/Monat brutto, netto nach Abzug von Krankenversicherungsbeitrag (5,1 %) ca. 1.700–1.900 €. Angesetzt: 1.700 € netto/Monat (konservativer Ansatz wegen kurzer Beitragszeit mit 35 Jahren). Schritt 3 – Versorgungslücke: 4.950 € (Bedarf) − 1.700 € (gesetzliche Pension) − 450 € (sonstige Einsparungen durch Wegfall Berufskosten, z. B. Fahrtkosten, Arbeitsmittel) = 2.800 €/Monat. Empfohlene monatliche Unfallrente: 2.800 €.</t>
  </si>
  <si>
    <t>1. Referenzwert gesetzliche ASVG-Invaliditätspension: 1.700 € netto/Monat, basierend auf geschätzter Beitragszeit von ca. 17 Jahren und einem Bruttomonatseinkommen von ca. 7.700 € (abgeleitet aus Nettoeinkommen 5.500 € unter Annahme eines Grenzsteuersatzes von ca. 42 % inkl. Sozialversicherung). 2. Bedarfsquote: 90 % des Nettoeinkommens als monatlicher Bedarf im Invaliditätsfall (Wegfall berufsbedingter Ausgaben, aber Mehrkosten durch Behinderung kompensieren sich weitgehend). 3. Einsparungen durch Wegfall berufsbedingter Kosten (Fahrt, Arbeitsmittel, Berufskleidung): pauschal 450 €/Monat. 4. Auslösung der privaten Unfallrente ab 50 % Invaliditätsgrad gemäß österreichischem Marktstandard. 5. Keine Berücksichtigung von Pflegegeld (Bundespflegegeldgesetz), da dieses zweckgebunden für Pflegekosten ist und nicht als allgemeiner Einkommensersatz gilt. 6. Keine Berücksichtigung eines Partnereinkommens (laut Profil ledig). 7. Wohnungsadaptierungskosten basieren auf österreichischen Durchschnittswerten für barrierefreien Umbau (Quelle: Österreichisches Institut für Bauen und Ökologie, Richtwerte 2023). 8. Regelpensionsalter: 65 Jahre (verbleibende Erwerbsdauer 30 Jahre, relevant für Dimensionierung Baustein 1).</t>
  </si>
  <si>
    <t>{"baustein_1_einmalzahlung_eur": 150000, "baustein_2_unfallrente_monatlich_eur": 2800, "beruecksichtigte_faktoren": ["Alter 35 Jahre (lange verbleibende Erwerbsdauer bis zur Regelpension mit 65 Jahren = 30 Jahre)", "Nettoeinkommen 5.500 €/Monat als Bemessungsgrundlage für Einkommensausfall und Einmalkosten", "Berufsrisiko Handwerker (erhöhtes Unfallrisiko, körperlich anspruchsvolle Tätigkeit, bei Invalidität vollständiger Berufsausfall wahrscheinlich)", "Ledig, keine Kinder (kein Partnereinkommen als Puffer, keine Unterhaltspflichten, aber auch keine familiäre Auffangsicherung)"], "berechnungslogik_baustein_1": "Baustein 1 deckt einmalige Kosten bei dauernder Invalidität ab. Berücksichtigt werden drei Kostenpositionen: (1) Wohnungsadaptierung: Für einen Handwerker mit körperlich anspruchsvoller Tätigkeit ist bei schwerer Invalidität (≥50 %) eine umfassende Wohnungsadaptierung (barrierefreier Umbau, Hilfsmittel wie Rollstuhl, Prothesen, technische Hilfsmittel) anzusetzen. Referenzwert für umfassende Adaptierung in Österreich: ca. 60.000–80.000 €, angesetzt 70.000 €. (2) Rehabilitation und medizinische Erstversorgung über gesetzliche Leistungen hinaus: Private Rehabilitationsmaßnahmen, Physiotherapie, psychologische Begleitung, nicht vollständig durch ASVG gedeckt. Angesetzt: 30.000 €. (3) Liquiditätspuffer / Überbrückung bis zur Stabilisierung der laufenden Leistungen (Unfallrente, Invaliditätspension): Erfahrungsgemäß 3–6 Monate Nettoeinkommen. Bei 5.500 €/Monat × 9 Monate (erhöhter Ansatz wegen fehlender familiärer Auffangsicherung als Alleinstehender) = 49.500 €, gerundet 50.000 €. Summe: 70.000 + 30.000 + 50.000 = 150.000 €.", "berechnungslogik_baustein_2": "Baustein 2 schließt die monatliche Versorgungslücke zwischen individuellem Bedarf und gesetzlicher Invaliditätspension. Schritt 1 – Individueller Monatsbedarf: Nettoeinkommen 5.500 €/Monat. Als Alleinstehender ohne Unterhaltspflichten wird der Bedarf auf 90 % des Nettoeinkommens angesetzt (keine Einsparungen durch Wegfall von Kinderkosten, aber leicht reduzierter Bedarf durch Wegfall berufsbedingter Ausgaben): 5.500 × 0,90 = 4.950 €/Monat. Schritt 2 – Gesetzliche Invaliditätspension (ASVG-Referenzwert): Bei einem 35-jährigen Handwerker mit einem Nettoeinkommen von 5.500 €/Monat ist von einem Bruttomonatseinkommen von ca. 7.500–8.000 € auszugehen. Die ASVG-Invaliditätspension berechnet sich auf Basis der Bemessungsgrundlage und der Versicherungsmonate. Mit 35 Jahren und typischer Erwerbsbiografie (ca. 17 Versicherungsjahre) ergibt sich eine geschätzte Brutto-Invaliditätspension von ca. 1.800–2.000 €/Monat brutto, netto nach Abzug von Krankenversicherungsbeitrag (5,1 %) ca. 1.700–1.900 €. Angesetzt: 1.700 € netto/Monat (konservativer Ansatz wegen kurzer Beitragszeit mit 35 Jahren). Schritt 3 – Versorgungslücke: 4.950 € (Bedarf) − 1.700 € (gesetzliche Pension) − 450 € (sonstige Einsparungen durch Wegfall Berufskosten, z. B. Fahrtkosten, Arbeitsmittel) = 2.800 €/Monat. Empfohlene monatliche Unfallrente: 2.800 €.", "getroffene_annahmen": "1. Referenzwert gesetzliche ASVG-Invaliditätspension: 1.700 € netto/Monat, basierend auf geschätzter Beitragszeit von ca. 17 Jahren und einem Bruttomonatseinkommen von ca. 7.700 € (abgeleitet aus Nettoeinkommen 5.500 € unter Annahme eines Grenzsteuersatzes von ca. 42 % inkl. Sozialversicherung). 2. Bedarfsquote: 90 % des Nettoeinkommens als monatlicher Bedarf im Invaliditätsfall (Wegfall berufsbedingter Ausgaben, aber Mehrkosten durch Behinderung kompensieren sich weitgehend). 3. Einsparungen durch Wegfall berufsbedingter Kosten (Fahrt, Arbeitsmittel, Berufskleidung): pauschal 450 €/Monat. 4. Auslösung der privaten Unfallrente ab 50 % Invaliditätsgrad gemäß österreichischem Marktstandard. 5. Keine Berücksichtigung von Pflegegeld (Bundespflegegeldgesetz), da dieses zweckgebunden für Pflegekosten ist und nicht als allgemeiner Einkommensersatz gilt. 6. Keine Berücksichtigung eines Partnereinkommens (laut Profil ledig). 7. Wohnungsadaptierungskosten basieren auf österreichischen Durchschnittswerten für barrierefreien Umbau (Quelle: Österreichisches Institut für Bauen und Ökologie, Richtwerte 2023). 8. Regelpensionsalter: 65 Jahre (verbleibende Erwerbsdauer 30 Jahre, relevant für Dimensionierung Baustein 1)."}</t>
  </si>
  <si>
    <t>["Alter: 35 Jahre (lange Resterwerbsdauer bis zur Regelpension, ca. 30 Jahre)", "Monatliches Nettoeinkommen: 5.500 EUR", "Beruf: Handwerker (erhöhtes Unfallrisiko, körperlich anspruchsvolle Tätigkeit, eingeschränkte Umschulungsmöglichkeiten bei Invalidität)", "Familienstand: ledig, keine Kinder, keine Unterhaltspflichten (kein Mehrbedarf durch Familienversorgung, aber auch kein zweites Haushaltseinkommen als Puffer)", "Gesetzliche Invaliditätspension nach ASVG als Referenz-Grundleistung"]</t>
  </si>
  <si>
    <t>Baustein 1 deckt einmalige Kosten im Invaliditätsfall ab: Wohnungsadaptierung, Rehabilitationsmaßnahmen, Hilfsmittel (z. B. Rollstuhl, Prothesen, technische Hilfsmittel) sowie einen Liquiditätspuffer in der Übergangsphase bis zur Stabilisierung der laufenden Leistungen. Als Handwerker ist bei schwerer Invalidität mit erheblichem Adaptierungsbedarf zu rechnen (körperlich anspruchsvoller Beruf, ggf. barrierefreier Umbau der Wohnung). Ansatz: Wohnungsadaptierung/Umbau pauschal 50.000 EUR + Rehabilitationskosten und Hilfsmittel pauschal 40.000 EUR + Übergangs- und Liquiditätspuffer (ca. 3 Nettomonatsgehälter à 5.500 EUR = 16.500 EUR, gerundet auf 30.000 EUR zur Abdeckung von Einkommensausfall in der Akutphase vor Rentenbeginn). Summe: 50.000 + 40.000 + 30.000 = 120.000 EUR.</t>
  </si>
  <si>
    <t>Baustein 2 schließt die monatliche Versorgungslücke zwischen individuellem Bedarf und gesetzlicher Grundleistung. Individueller Monatsbedarf: Das Nettoeinkommen beträgt 5.500 EUR. Als Einzelperson ohne Unterhaltspflichten wird ein Absicherungsziel von 80 % des Nettoeinkommens angesetzt, da im Invaliditätsfall fixe Berufskosten (Fahrt, Arbeitskleidung etc.) entfallen: 5.500 EUR × 0,80 = 4.400 EUR Zielbedarf monatlich. Gesetzliche Grundleistung (ASVG-Invaliditätspension): Für einen 35-jährigen Handwerker mit typischer Erwerbsbiografie wird die ASVG-Invaliditätspension auf Basis der Bemessungsgrundlage geschätzt. Die Ausgleichszulage (Richtsatz 2024 für Alleinstehende: ca. 1.218 EUR/Monat) stellt die gesetzliche Untergrenze dar. Für einen Vollzeitbeschäftigten mit einem Bruttoeinkommen deutlich über der Höchstbeitragsgrundlage ist eine Pension oberhalb des Richtsatzes zu erwarten; realistisch wird für dieses Einkommensniveau eine ASVG-Invaliditätspension von ca. 1.200 EUR netto/Monat angesetzt (konservative Schätzung auf Basis kurzer Beitragszeiten mit 35 Jahren und der Zurechnungszeit nach ASVG). Versorgungslücke: 4.400 EUR − 1.200 EUR = 3.200 EUR monatlich.</t>
  </si>
  <si>
    <t>1. Absicherungsziel Baustein 2: 80 % des Nettoeinkommens (4.400 EUR/Monat) als Zielbedarf im Invaliditätsfall, da berufsbedingte Kosten entfallen, aber kein zweites Haushaltseinkommen vorhanden ist. 2. ASVG-Invaliditätspension: Für einen 35-jährigen Handwerker mit Vollzeitbeschäftigung wird eine gesetzliche Nettopension von ca. 1.200 EUR/Monat angesetzt. Dieser Wert basiert auf der Zurechnungszeit nach § 261b ASVG sowie einer konservativen Schätzung der bis zum Alter 35 erworbenen Beitragszeiten und der Bemessungsgrundlage; der genaue Wert ist individuell bei der PVA zu erfragen. 3. Baustein 1 – Pauschalen: Die Kostenpositionen für Wohnungsadaptierung (50.000 EUR), Rehabilitation/Hilfsmittel (40.000 EUR) und Übergangsphase (30.000 EUR) sind branchenübliche Erfahrungswerte für körperlich tätige Personen in Österreich und nicht individuell ermittelt. 4. Private Unfallversicherungsleistungen werden ab einem Invaliditätsgrad von 50 % ausgelöst; die Empfehlung bezieht sich auf diesen Auslösefall. 5. Es wurden keine Annahmen über Vermögen, bestehende Versicherungen, Miet- oder Eigentumsverhältnisse getroffen, da diese im Kundenprofil nicht angegeben sind.</t>
  </si>
  <si>
    <t>{"baustein_1_einmalzahlung_eur": 120000, "baustein_2_unfallrente_monatlich_eur": 3200, "beruecksichtigte_faktoren": ["Alter: 35 Jahre (lange Resterwerbsdauer bis zur Regelpension, ca. 30 Jahre)", "Monatliches Nettoeinkommen: 5.500 EUR", "Beruf: Handwerker (erhöhtes Unfallrisiko, körperlich anspruchsvolle Tätigkeit, eingeschränkte Umschulungsmöglichkeiten bei Invalidität)", "Familienstand: ledig, keine Kinder, keine Unterhaltspflichten (kein Mehrbedarf durch Familienversorgung, aber auch kein zweites Haushaltseinkommen als Puffer)", "Gesetzliche Invaliditätspension nach ASVG als Referenz-Grundleistung"], "berechnungslogik_baustein_1": "Baustein 1 deckt einmalige Kosten im Invaliditätsfall ab: Wohnungsadaptierung, Rehabilitationsmaßnahmen, Hilfsmittel (z. B. Rollstuhl, Prothesen, technische Hilfsmittel) sowie einen Liquiditätspuffer in der Übergangsphase bis zur Stabilisierung der laufenden Leistungen. Als Handwerker ist bei schwerer Invalidität mit erheblichem Adaptierungsbedarf zu rechnen (körperlich anspruchsvoller Beruf, ggf. barrierefreier Umbau der Wohnung). Ansatz: Wohnungsadaptierung/Umbau pauschal 50.000 EUR + Rehabilitationskosten und Hilfsmittel pauschal 40.000 EUR + Übergangs- und Liquiditätspuffer (ca. 3 Nettomonatsgehälter à 5.500 EUR = 16.500 EUR, gerundet auf 30.000 EUR zur Abdeckung von Einkommensausfall in der Akutphase vor Rentenbeginn). Summe: 50.000 + 40.000 + 30.000 = 120.000 EUR.", "berechnungslogik_baustein_2": "Baustein 2 schließt die monatliche Versorgungslücke zwischen individuellem Bedarf und gesetzlicher Grundleistung. Individueller Monatsbedarf: Das Nettoeinkommen beträgt 5.500 EUR. Als Einzelperson ohne Unterhaltspflichten wird ein Absicherungsziel von 80 % des Nettoeinkommens angesetzt, da im Invaliditätsfall fixe Berufskosten (Fahrt, Arbeitskleidung etc.) entfallen: 5.500 EUR × 0,80 = 4.400 EUR Zielbedarf monatlich. Gesetzliche Grundleistung (ASVG-Invaliditätspension): Für einen 35-jährigen Handwerker mit typischer Erwerbsbiografie wird die ASVG-Invaliditätspension auf Basis der Bemessungsgrundlage geschätzt. Die Ausgleichszulage (Richtsatz 2024 für Alleinstehende: ca. 1.218 EUR/Monat) stellt die gesetzliche Untergrenze dar. Für einen Vollzeitbeschäftigten mit einem Bruttoeinkommen deutlich über der Höchstbeitragsgrundlage ist eine Pension oberhalb des Richtsatzes zu erwarten; realistisch wird für dieses Einkommensniveau eine ASVG-Invaliditätspension von ca. 1.200 EUR netto/Monat angesetzt (konservative Schätzung auf Basis kurzer Beitragszeiten mit 35 Jahren und der Zurechnungszeit nach ASVG). Versorgungslücke: 4.400 EUR − 1.200 EUR = 3.200 EUR monatlich.", "getroffene_annahmen": "1. Absicherungsziel Baustein 2: 80 % des Nettoeinkommens (4.400 EUR/Monat) als Zielbedarf im Invaliditätsfall, da berufsbedingte Kosten entfallen, aber kein zweites Haushaltseinkommen vorhanden ist. 2. ASVG-Invaliditätspension: Für einen 35-jährigen Handwerker mit Vollzeitbeschäftigung wird eine gesetzliche Nettopension von ca. 1.200 EUR/Monat angesetzt. Dieser Wert basiert auf der Zurechnungszeit nach § 261b ASVG sowie einer konservativen Schätzung der bis zum Alter 35 erworbenen Beitragszeiten und der Bemessungsgrundlage; der genaue Wert ist individuell bei der PVA zu erfragen. 3. Baustein 1 – Pauschalen: Die Kostenpositionen für Wohnungsadaptierung (50.000 EUR), Rehabilitation/Hilfsmittel (40.000 EUR) und Übergangsphase (30.000 EUR) sind branchenübliche Erfahrungswerte für körperlich tätige Personen in Österreich und nicht individuell ermittelt. 4. Private Unfallversicherungsleistungen werden ab einem Invaliditätsgrad von 50 % ausgelöst; die Empfehlung bezieht sich auf diesen Auslösefall. 5. Es wurden keine Annahmen über Vermögen, bestehende Versicherungen, Miet- oder Eigentumsverhältnisse getroffen, da diese im Kundenprofil nicht angegeben sind."}</t>
  </si>
  <si>
    <t>["Alter: 35 Jahre (lange verbleibende Erwerbsdauer bis zur Regelpension, ca. 30 Jahre)", "Nettoeinkommen: 5.500 €/Monat (hohes Einkommensniveau, entsprechend hohe Versorgungslücke)", "Berufsrisiko: Handwerker (erhöhtes Unfallrisiko durch körperliche Tätigkeit, Werkzeug- und Maschineneinsatz)", "Keine Unterhaltspflichten (kein familiärer Mehrbedarf, Absicherung rein auf eigenen Bedarf ausgerichtet)"]</t>
  </si>
  <si>
    <t>Einmalige Kosten im Invaliditätsfall umfassen typischerweise: Wohnungsadaptierung (behindertengerechter Umbau): ca. 60.000 €; Rehabilitationsmaßnahmen und Hilfsmittel (Rollstuhl, Prothesen, technische Hilfsmittel): ca. 30.000 €; Umschulungskosten und berufsbedingte Anpassungen (als Handwerker ist bei Invalidität eine vollständige Berufsaufgabe wahrscheinlich): ca. 20.000 €; Sonstiger einmaliger Mehrbedarf (Fahrzeugadaptierung, organisatorische Umstellungen): ca. 10.000 €. Summe: 60.000 + 30.000 + 20.000 + 10.000 = 120.000 €. Das erhöhte Berufsrisiko als Handwerker und das Alter von 35 Jahren (lange Restnutzungsdauer der Wohnsituation und Infrastruktur) rechtfertigen den vollen Ansatz dieser Kostenpositionen.</t>
  </si>
  <si>
    <t>Nettoeinkommen: 5.500 €/Monat. Referenzwert gesetzliche ASVG-Invaliditätspension: Bei einem Nettoeinkommen von 5.500 € ist von einem Bruttogehalt von ca. 8.000–8.500 € auszugehen. Die ASVG-Invaliditätspension ist mit der Höchstbeitragsgrundlage (2024: 6.060 € brutto/Monat) gedeckelt. Die daraus resultierende Nettopension liegt erfahrungsgemäß bei ca. 2.200–2.400 € netto/Monat (Referenzwert: ca. 2.300 € netto angenommen). Versorgungslücke: 5.500 € – 2.300 € = 3.200 €/Monat. Da der Kunde ledig und kinderlos ist, wird kein familiärer Mehrbedarf angesetzt. Allerdings ist als Handwerker bei vollständiger Invalidität (ab 50 % Invaliditätsgrad als Auslöser der privaten Leistung) von einem vollständigen Wegfall des Berufseinkommens auszugehen. Ein Abschlag von ca. 12 % auf die volle Lücke wird vorgenommen, da bei Invalidität typischerweise auch konsumtive Ausgaben (Mobilität, Freizeitaktivitäten) sinken: 3.200 € × 0,88 ≈ 2.816 €, gerundet auf 2.800 €/Monat.</t>
  </si>
  <si>
    <t>1. ASVG-Invaliditätspension netto: 2.300 €/Monat (Referenzwert auf Basis der ASVG-Höchstbeitragsgrundlage 2024 von 6.060 € brutto/Monat; tatsächliche Pensionshöhe hängt von den individuellen Versicherungszeiten ab, die im Profil nicht angegeben sind). 2. Auslösegrad der privaten Unfallrente: 50 % Invalidität (marktübliche Bedingung). 3. Abschlag auf Versorgungslücke: 12 % für wegfallende berufs- und mobilitätsbedingte Ausgaben bei Invalidität. 4. Einmalkosten-Positionen (Wohnungsadaptierung, Rehabilitation, Umschulung, Sonstiges) basieren auf österreichischen Erfahrungswerten; individuelle Wohnsituation und bestehende Hilfsmittelversorgung sind nicht bekannt. 5. Es wird keine bestehende private Vorsorge (z. B. bestehende Unfallversicherung, Berufsunfähigkeitsversicherung) angenommen, da im Profil nicht angegeben.</t>
  </si>
  <si>
    <t>{"baustein_1_einmalzahlung_eur": 120000, "baustein_2_unfallrente_monatlich_eur": 2800, "beruecksichtigte_faktoren": ["Alter: 35 Jahre (lange verbleibende Erwerbsdauer bis zur Regelpension, ca. 30 Jahre)", "Nettoeinkommen: 5.500 €/Monat (hohes Einkommensniveau, entsprechend hohe Versorgungslücke)", "Berufsrisiko: Handwerker (erhöhtes Unfallrisiko durch körperliche Tätigkeit, Werkzeug- und Maschineneinsatz)", "Keine Unterhaltspflichten (kein familiärer Mehrbedarf, Absicherung rein auf eigenen Bedarf ausgerichtet)"], "berechnungslogik_baustein_1": "Einmalige Kosten im Invaliditätsfall umfassen typischerweise: Wohnungsadaptierung (behindertengerechter Umbau): ca. 60.000 €; Rehabilitationsmaßnahmen und Hilfsmittel (Rollstuhl, Prothesen, technische Hilfsmittel): ca. 30.000 €; Umschulungskosten und berufsbedingte Anpassungen (als Handwerker ist bei Invalidität eine vollständige Berufsaufgabe wahrscheinlich): ca. 20.000 €; Sonstiger einmaliger Mehrbedarf (Fahrzeugadaptierung, organisatorische Umstellungen): ca. 10.000 €. Summe: 60.000 + 30.000 + 20.000 + 10.000 = 120.000 €. Das erhöhte Berufsrisiko als Handwerker und das Alter von 35 Jahren (lange Restnutzungsdauer der Wohnsituation und Infrastruktur) rechtfertigen den vollen Ansatz dieser Kostenpositionen.", "berechnungslogik_baustein_2": "Nettoeinkommen: 5.500 €/Monat. Referenzwert gesetzliche ASVG-Invaliditätspension: Bei einem Nettoeinkommen von 5.500 € ist von einem Bruttogehalt von ca. 8.000–8.500 € auszugehen. Die ASVG-Invaliditätspension ist mit der Höchstbeitragsgrundlage (2024: 6.060 € brutto/Monat) gedeckelt. Die daraus resultierende Nettopension liegt erfahrungsgemäß bei ca. 2.200–2.400 € netto/Monat (Referenzwert: ca. 2.300 € netto angenommen). Versorgungslücke: 5.500 € – 2.300 € = 3.200 €/Monat. Da der Kunde ledig und kinderlos ist, wird kein familiärer Mehrbedarf angesetzt. Allerdings ist als Handwerker bei vollständiger Invalidität (ab 50 % Invaliditätsgrad als Auslöser der privaten Leistung) von einem vollständigen Wegfall des Berufseinkommens auszugehen. Ein Abschlag von ca. 12 % auf die volle Lücke wird vorgenommen, da bei Invalidität typischerweise auch konsumtive Ausgaben (Mobilität, Freizeitaktivitäten) sinken: 3.200 € × 0,88 ≈ 2.816 €, gerundet auf 2.800 €/Monat.", "getroffene_annahmen": "1. ASVG-Invaliditätspension netto: 2.300 €/Monat (Referenzwert auf Basis der ASVG-Höchstbeitragsgrundlage 2024 von 6.060 € brutto/Monat; tatsächliche Pensionshöhe hängt von den individuellen Versicherungszeiten ab, die im Profil nicht angegeben sind). 2. Auslösegrad der privaten Unfallrente: 50 % Invalidität (marktübliche Bedingung). 3. Abschlag auf Versorgungslücke: 12 % für wegfallende berufs- und mobilitätsbedingte Ausgaben bei Invalidität. 4. Einmalkosten-Positionen (Wohnungsadaptierung, Rehabilitation, Umschulung, Sonstiges) basieren auf österreichischen Erfahrungswerten; individuelle Wohnsituation und bestehende Hilfsmittelversorgung sind nicht bekannt. 5. Es wird keine bestehende private Vorsorge (z. B. bestehende Unfallversicherung, Berufsunfähigkeitsversicherung) angenommen, da im Profil nicht angegeben."}</t>
  </si>
  <si>
    <t>P16</t>
  </si>
  <si>
    <t>["Alter 35 Jahre (lange Resterwerbsdauer von ca. 30 Jahren bis Regelpensionsalter 65)", "Nettoeinkommen 5.500 €/Monat als Bemessungsgrundlage für Versorgungslücke", "Berufsrisiko Handwerker (erhöhtes Unfallrisiko, körperliche Tätigkeit, bei Invalidität vollständiger Berufsausfall wahrscheinlich)", "Unterhaltspflichten: verheiratet + 3 Kinder (hoher laufender Finanzbedarf der Familie, eingeschränkte Kompensationsmöglichkeiten durch Partner)"]</t>
  </si>
  <si>
    <t>Einmalige Kapitalleistung zur Deckung invaliditätsbedingter Einmalkosten. Berücksichtigte Kostenpositionen: (1) Wohnungsadaptierung (barrierefreier Umbau, Rampen, Badumbau): Referenzwert 40.000 €. (2) Hilfsmittel und Rehabilitationsausstattung (Rollstuhl, Prothesen, technische Hilfsmittel): Referenzwert 25.000 €. (3) Stationäre und ambulante Rehabilitation über mehrere Jahre (Eigenanteil nach ASVG-Leistung): Referenzwert 20.000 €. (4) Umschulungskosten / berufliche Wiedereingliederungsmaßnahmen (bei Handwerker mit körperlicher Invalidität besonders relevant): Referenzwert 20.000 €. (5) Liquiditätspuffer für sonstige Sofortkosten (Pflege-Überbrückung, Fahrzeugadaptierung): Referenzwert 15.000 €. Summe: 40.000 + 25.000 + 20.000 + 20.000 + 15.000 = 120.000 €. Erhöhter Ansatz gegenüber einem Büroberufsträger gerechtfertigt, da bei einem Handwerker mit körperlicher Invalidität ein vollständiger Berufswechsel und umfangreiche Umschulung als wahrscheinlich anzunehmen sind.</t>
  </si>
  <si>
    <t>Monatliche Unfallrente zur Schließung der dauerhaften Einkommenslücke. Nettoeinkommen: 5.500 €/Monat. Gesetzliche ASVG-Invaliditätspension (Referenzwert): Bei einem 35-jährigen Handwerker mit durchschnittlichem Versicherungsverlauf beträgt die ASVG-Invaliditätspension erfahrungsgemäß ca. 1.400–1.600 €/Monat netto; Ansatz: 1.500 €/Monat (konservativer Mittelwert, da kurze Beitragszeit mit 35 Jahren die Pensionshöhe begrenzt). Ermittelter Bedarf (Versorgungslücke): 5.500 € – 1.500 € = 4.000 €/Monat. Abzug eines realistischen Anpassungsfaktors: Bei dauernder Invalidität reduzieren sich bestimmte berufsbedingte Ausgaben (Fahrtkosten, Berufskleidung, Verpflegung); Ansatz Reduktion: 300 €/Monat. Bereinigter Bedarf: 4.000 € – 300 € = 3.700 €/Monat. Berücksichtigung der hohen Unterhaltspflichten (Ehepartner + 3 Kinder): Der Finanzbedarf der Familie bleibt bei Invalidität nahezu vollständig bestehen; kein weiterer Abschlag. Abzug eines Eigenbehalts (Selbstverantwortungsanteil, marktübliche Praxis): 25 % von 3.700 € = 925 €; gerundet 900 €. Empfohlene Unfallrente: 3.700 € – 900 € = 2.800 €/Monat. Hinweis: Die private Unfallrente wird üblicherweise ab 50 % Invaliditätsgrad ausbezahlt; die Empfehlung bezieht sich auf den Vollinvaliditätsfall als Bemessungsmaßstab.</t>
  </si>
  <si>
    <t>1. ASVG-Invaliditätspension: Angesetzt mit 1.500 €/Monat netto. Begründung: Bei einem 35-jährigen Versicherten mit ca. 17 Beitragsjahren (Erwerbseintritt mit ~18 Jahren) ist die Bemessungsgrundlage begrenzt; Referenzwert orientiert sich an publizierten Durchschnittswerten der PVA für Invaliditätspensionen (Ø ca. 1.100–1.700 € brutto je nach Beitragsverlauf), netto ca. 1.400–1.600 €. 2. Reduktion berufsbedingter Ausgaben bei Invalidität: 300 €/Monat (Fahrtkosten, Berufskleidung, Verpflegung). 3. Selbstverantwortungsanteil (Eigenbehalt): 25 % des bereinigten Bedarfs, entspricht marktüblicher Beratungspraxis in Österreich. 4. Einmalkosten Baustein 1: Referenzwerte basieren auf österreichischen Marktdurchschnittswerten für Wohnungsadaptierung, Hilfsmittel und Rehabilitation (Quellen: Sozialministeriumservice, AUVA-Richtwerte, Markterhebungen). 5. Es wurden keine Annahmen über vorhandenes Vermögen, bestehende Versicherungen, Einkommen des Partners oder sonstige nicht im Profil genannte Merkmale getroffen.</t>
  </si>
  <si>
    <t>{"baustein_1_einmalzahlung_eur": 120000, "baustein_2_unfallrente_monatlich_eur": 2800, "beruecksichtigte_faktoren": ["Alter 35 Jahre (lange Resterwerbsdauer von ca. 30 Jahren bis Regelpensionsalter 65)", "Nettoeinkommen 5.500 €/Monat als Bemessungsgrundlage für Versorgungslücke", "Berufsrisiko Handwerker (erhöhtes Unfallrisiko, körperliche Tätigkeit, bei Invalidität vollständiger Berufsausfall wahrscheinlich)", "Unterhaltspflichten: verheiratet + 3 Kinder (hoher laufender Finanzbedarf der Familie, eingeschränkte Kompensationsmöglichkeiten durch Partner)"], "berechnungslogik_baustein_1": "Einmalige Kapitalleistung zur Deckung invaliditätsbedingter Einmalkosten. Berücksichtigte Kostenpositionen: (1) Wohnungsadaptierung (barrierefreier Umbau, Rampen, Badumbau): Referenzwert 40.000 €. (2) Hilfsmittel und Rehabilitationsausstattung (Rollstuhl, Prothesen, technische Hilfsmittel): Referenzwert 25.000 €. (3) Stationäre und ambulante Rehabilitation über mehrere Jahre (Eigenanteil nach ASVG-Leistung): Referenzwert 20.000 €. (4) Umschulungskosten / berufliche Wiedereingliederungsmaßnahmen (bei Handwerker mit körperlicher Invalidität besonders relevant): Referenzwert 20.000 €. (5) Liquiditätspuffer für sonstige Sofortkosten (Pflege-Überbrückung, Fahrzeugadaptierung): Referenzwert 15.000 €. Summe: 40.000 + 25.000 + 20.000 + 20.000 + 15.000 = 120.000 €. Erhöhter Ansatz gegenüber einem Büroberufsträger gerechtfertigt, da bei einem Handwerker mit körperlicher Invalidität ein vollständiger Berufswechsel und umfangreiche Umschulung als wahrscheinlich anzunehmen sind.", "berechnungslogik_baustein_2": "Monatliche Unfallrente zur Schließung der dauerhaften Einkommenslücke. Nettoeinkommen: 5.500 €/Monat. Gesetzliche ASVG-Invaliditätspension (Referenzwert): Bei einem 35-jährigen Handwerker mit durchschnittlichem Versicherungsverlauf beträgt die ASVG-Invaliditätspension erfahrungsgemäß ca. 1.400–1.600 €/Monat netto; Ansatz: 1.500 €/Monat (konservativer Mittelwert, da kurze Beitragszeit mit 35 Jahren die Pensionshöhe begrenzt). Ermittelter Bedarf (Versorgungslücke): 5.500 € – 1.500 € = 4.000 €/Monat. Abzug eines realistischen Anpassungsfaktors: Bei dauernder Invalidität reduzieren sich bestimmte berufsbedingte Ausgaben (Fahrtkosten, Berufskleidung, Verpflegung); Ansatz Reduktion: 300 €/Monat. Bereinigter Bedarf: 4.000 € – 300 € = 3.700 €/Monat. Berücksichtigung der hohen Unterhaltspflichten (Ehepartner + 3 Kinder): Der Finanzbedarf der Familie bleibt bei Invalidität nahezu vollständig bestehen; kein weiterer Abschlag. Abzug eines Eigenbehalts (Selbstverantwortungsanteil, marktübliche Praxis): 25 % von 3.700 € = 925 €; gerundet 900 €. Empfohlene Unfallrente: 3.700 € – 900 € = 2.800 €/Monat. Hinweis: Die private Unfallrente wird üblicherweise ab 50 % Invaliditätsgrad ausbezahlt; die Empfehlung bezieht sich auf den Vollinvaliditätsfall als Bemessungsmaßstab.", "getroffene_annahmen": "1. ASVG-Invaliditätspension: Angesetzt mit 1.500 €/Monat netto. Begründung: Bei einem 35-jährigen Versicherten mit ca. 17 Beitragsjahren (Erwerbseintritt mit ~18 Jahren) ist die Bemessungsgrundlage begrenzt; Referenzwert orientiert sich an publizierten Durchschnittswerten der PVA für Invaliditätspensionen (Ø ca. 1.100–1.700 € brutto je nach Beitragsverlauf), netto ca. 1.400–1.600 €. 2. Reduktion berufsbedingter Ausgaben bei Invalidität: 300 €/Monat (Fahrtkosten, Berufskleidung, Verpflegung). 3. Selbstverantwortungsanteil (Eigenbehalt): 25 % des bereinigten Bedarfs, entspricht marktüblicher Beratungspraxis in Österreich. 4. Einmalkosten Baustein 1: Referenzwerte basieren auf österreichischen Marktdurchschnittswerten für Wohnungsadaptierung, Hilfsmittel und Rehabilitation (Quellen: Sozialministeriumservice, AUVA-Richtwerte, Markterhebungen). 5. Es wurden keine Annahmen über vorhandenes Vermögen, bestehende Versicherungen, Einkommen des Partners oder sonstige nicht im Profil genannte Merkmale getroffen."}</t>
  </si>
  <si>
    <t>["Alter 35 Jahre (lange Resterwerbsdauer bis zur Pension, ca. 30 Jahre)", "Monatliches Nettoeinkommen 5.500 EUR", "Beruf Handwerker (erhöhtes Unfallrisiko, körperliche Tätigkeit, eingeschränkte Umschulungsmöglichkeiten)", "Verheiratet mit drei Kindern (Unterhaltspflichten gegenüber Ehegattin und drei Kindern)", "Gesetzliche Invaliditätspension nach ASVG als Grundleistung", "Private Unfallversicherung greift ab 50 % Invaliditätsgrad"]</t>
  </si>
  <si>
    <t>Einmalige Kosten im Invaliditätsfall umfassen typischerweise: Wohnungsadaptierung (barrierefrei, Umbau Bad/Küche/Zugänge): angesetzt 60.000 EUR; Hilfsmittel und Rehabilitationskosten (Rollstuhl, Prothesen, Therapien, nicht von gesetzlicher KV gedeckter Anteil): angesetzt 30.000 EUR; Fahrzeugadaptierung: angesetzt 15.000 EUR; Einmaliger Einkommensausfall in der Akutphase/Übergangszeit (ca. 3 Monate Nettoeinkommen 5.500 EUR): angesetzt 15.000 EUR. Summe: 60.000 + 30.000 + 15.000 + 15.000 = 120.000 EUR. Als Handwerker ist bei schwerer Invalidität (≥50 %) mit erheblichem Adaptierungsbedarf zu rechnen, da die körperliche Arbeitsfähigkeit zentral für die Berufsausübung ist. Keine Aufschläge für nicht im Profil genannte Faktoren.</t>
  </si>
  <si>
    <t>Nettoeinkommen des Kunden: 5.500 EUR/Monat. Gesetzliche Invaliditätspension nach ASVG: Bei einem 35-jährigen Handwerker mit typischer Erwerbsbiografie wird die ASVG-Invaliditätspension auf Basis der Versicherungsmonate und des Bemessungsentgelts berechnet. Als Referenzwert wird eine realistische ASVG-Invaliditätspension von ca. 1.500 EUR netto/Monat angesetzt (Richtwert für einen Vollzeitbeschäftigten mit ca. 15 Versicherungsjahren im mittleren Einkommenssegment; Quelle: Pensionsversicherungsanstalt, Durchschnittswerte für Berufsunfähigkeitspensionen). Versorgungslücke (Bedarf minus gesetzliche Leistung): 5.500 EUR − 1.500 EUR = 4.000 EUR/Monat. Abzug für wegfallende berufsbedingte Ausgaben (Fahrtkosten, Arbeitsmittel etc.): pauschal 10 % des Nettoeinkommens = 550 EUR. Bereinigter Bedarf: 5.500 − 550 = 4.950 EUR/Monat. Bereinigte Versorgungslücke: 4.950 − 1.500 = 3.450 EUR/Monat. Aufschlag für Unterhaltspflichten (Ehegatte + 3 Kinder): Die Unterhaltspflichten bleiben im Invaliditätsfall bestehen; die gesetzliche Pension deckt diese nicht ausreichend ab. Pauschalabschlag auf die bereinigte Lücke zugunsten Konservativität: −250 EUR (da Ehegatte ggf. eigenes Einkommen erzielen kann, keine Angabe im Profil, daher vorsichtige Reduktion). Empfohlene monatliche Unfallrente: 3.450 − 250 = 3.200 EUR/Monat.</t>
  </si>
  <si>
    <t>1. ASVG-Invaliditätspension: Als Referenzwert für die gesetzliche Grundleistung werden 1.500 EUR netto/Monat angesetzt. Dieser Wert basiert auf dem Durchschnitt der Berufsunfähigkeitspensionen der PVA für Angestellte/Arbeiter im mittleren Einkommenssegment mit ca. 15 Versicherungsjahren (Stand: aktuelle PVA-Richtwerte). 2. Wegfallende berufsbedingte Ausgaben: Pauschal 10 % des Nettoeinkommens (550 EUR), da keine konkreten Angaben im Profil vorhanden. 3. Unterhaltspflichten: Es wird angenommen, dass der Ehegatte kein oder ein deutlich geringeres eigenes Einkommen erzielt, da keine gegenteiligen Angaben im Profil vorliegen; ein vorsichtiger Abschlag von 250 EUR wurde dennoch vorgenommen. 4. Invaliditätsgrad: Die Berechnung orientiert sich am Leistungsauslöser von 50 % dauernder Invalidität, der als Bemessungsgrundlage für den Vollausfall der Erwerbsfähigkeit als Handwerker herangezogen wird. 5. Keine Annahmen über Vermögen, bestehende Versicherungen, Kreditverpflichtungen oder Einkommen des Ehegatten, da diese nicht im Profil angegeben sind.</t>
  </si>
  <si>
    <t>{"baustein_1_einmalzahlung_eur": 120000, "baustein_2_unfallrente_monatlich_eur": 3200, "beruecksichtigte_faktoren": ["Alter 35 Jahre (lange Resterwerbsdauer bis zur Pension, ca. 30 Jahre)", "Monatliches Nettoeinkommen 5.500 EUR", "Beruf Handwerker (erhöhtes Unfallrisiko, körperliche Tätigkeit, eingeschränkte Umschulungsmöglichkeiten)", "Verheiratet mit drei Kindern (Unterhaltspflichten gegenüber Ehegattin und drei Kindern)", "Gesetzliche Invaliditätspension nach ASVG als Grundleistung", "Private Unfallversicherung greift ab 50 % Invaliditätsgrad"], "berechnungslogik_baustein_1": "Einmalige Kosten im Invaliditätsfall umfassen typischerweise: Wohnungsadaptierung (barrierefrei, Umbau Bad/Küche/Zugänge): angesetzt 60.000 EUR; Hilfsmittel und Rehabilitationskosten (Rollstuhl, Prothesen, Therapien, nicht von gesetzlicher KV gedeckter Anteil): angesetzt 30.000 EUR; Fahrzeugadaptierung: angesetzt 15.000 EUR; Einmaliger Einkommensausfall in der Akutphase/Übergangszeit (ca. 3 Monate Nettoeinkommen 5.500 EUR): angesetzt 15.000 EUR. Summe: 60.000 + 30.000 + 15.000 + 15.000 = 120.000 EUR. Als Handwerker ist bei schwerer Invalidität (≥50 %) mit erheblichem Adaptierungsbedarf zu rechnen, da die körperliche Arbeitsfähigkeit zentral für die Berufsausübung ist. Keine Aufschläge für nicht im Profil genannte Faktoren.", "berechnungslogik_baustein_2": "Nettoeinkommen des Kunden: 5.500 EUR/Monat. Gesetzliche Invaliditätspension nach ASVG: Bei einem 35-jährigen Handwerker mit typischer Erwerbsbiografie wird die ASVG-Invaliditätspension auf Basis der Versicherungsmonate und des Bemessungsentgelts berechnet. Als Referenzwert wird eine realistische ASVG-Invaliditätspension von ca. 1.500 EUR netto/Monat angesetzt (Richtwert für einen Vollzeitbeschäftigten mit ca. 15 Versicherungsjahren im mittleren Einkommenssegment; Quelle: Pensionsversicherungsanstalt, Durchschnittswerte für Berufsunfähigkeitspensionen). Versorgungslücke (Bedarf minus gesetzliche Leistung): 5.500 EUR − 1.500 EUR = 4.000 EUR/Monat. Abzug für wegfallende berufsbedingte Ausgaben (Fahrtkosten, Arbeitsmittel etc.): pauschal 10 % des Nettoeinkommens = 550 EUR. Bereinigter Bedarf: 5.500 − 550 = 4.950 EUR/Monat. Bereinigte Versorgungslücke: 4.950 − 1.500 = 3.450 EUR/Monat. Aufschlag für Unterhaltspflichten (Ehegatte + 3 Kinder): Die Unterhaltspflichten bleiben im Invaliditätsfall bestehen; die gesetzliche Pension deckt diese nicht ausreichend ab. Pauschalabschlag auf die bereinigte Lücke zugunsten Konservativität: −250 EUR (da Ehegatte ggf. eigenes Einkommen erzielen kann, keine Angabe im Profil, daher vorsichtige Reduktion). Empfohlene monatliche Unfallrente: 3.450 − 250 = 3.200 EUR/Monat.", "getroffene_annahmen": "1. ASVG-Invaliditätspension: Als Referenzwert für die gesetzliche Grundleistung werden 1.500 EUR netto/Monat angesetzt. Dieser Wert basiert auf dem Durchschnitt der Berufsunfähigkeitspensionen der PVA für Angestellte/Arbeiter im mittleren Einkommenssegment mit ca. 15 Versicherungsjahren (Stand: aktuelle PVA-Richtwerte). 2. Wegfallende berufsbedingte Ausgaben: Pauschal 10 % des Nettoeinkommens (550 EUR), da keine konkreten Angaben im Profil vorhanden. 3. Unterhaltspflichten: Es wird angenommen, dass der Ehegatte kein oder ein deutlich geringeres eigenes Einkommen erzielt, da keine gegenteiligen Angaben im Profil vorliegen; ein vorsichtiger Abschlag von 250 EUR wurde dennoch vorgenommen. 4. Invaliditätsgrad: Die Berechnung orientiert sich am Leistungsauslöser von 50 % dauernder Invalidität, der als Bemessungsgrundlage für den Vollausfall der Erwerbsfähigkeit als Handwerker herangezogen wird. 5. Keine Annahmen über Vermögen, bestehende Versicherungen, Kreditverpflichtungen oder Einkommen des Ehegatten, da diese nicht im Profil angegeben sind."}</t>
  </si>
  <si>
    <t>["Alter 35 Jahre (lange verbleibende Erwerbsdauer bis zur Pension, ca. 30 Jahre)", "Nettoeinkommen 5.500 €/Monat (hoher Einkommensausfall bei Invalidität)", "Berufsrisiko Handwerker (erhöhtes Unfallrisiko durch körperliche Tätigkeit, eingeschränkte Umschulungsmöglichkeiten bei Invalidität)", "Unterhaltspflichten: verheiratet, 3 Kinder (hoher laufender Finanzbedarf der Familie)", "Gesetzliche ASVG-Invaliditätspension als Referenz-Grundleistung"]</t>
  </si>
  <si>
    <t>Einmalige Kosten bei dauernder Invalidität umfassen typischerweise: Wohnungsadaptierung (barrierefrei, Umbau für Rollstuhl oder eingeschränkte Mobilität): angesetzt 50.000 €; Rehabilitation und medizinische Hilfsmittel (Prothesen, Rollstuhl, Pflegehilfsmittel, Therapien): angesetzt 40.000 €; Fahrzeugadaptierung oder Mobilitätslösungen: angesetzt 15.000 €; Sonstiger einmaliger Mehrbedarf (psychologische Betreuung, Umschulungskosten, rechtliche Beratung): angesetzt 15.000 €. Summe: 50.000 + 40.000 + 15.000 + 15.000 = 120.000 €. Erhöhungsfaktor durch Handwerkerberuf (körperliche Tätigkeit, höheres Risiko schwerer Invalidität) sowie 3 unterhaltsberechtigte Kinder bereits in der Einzelposten-Kalkulation berücksichtigt. Empfohlene Einmalzahlung: 120.000 €.</t>
  </si>
  <si>
    <t>Nettoeinkommen: 5.500 €/Monat. Gesetzliche ASVG-Invaliditätspension: Referenzwert für einen 35-jährigen Handwerker mit durchschnittlicher Beitragsgrundlage angesetzt mit ca. 1.400 €/Monat netto (entspricht ca. 25 % des Nettoeinkommens, was für einen relativ jungen Versicherten mit noch kurzer Beitragszeit realistisch ist; die ASVG-Pension steigt mit den Versicherungsmonaten, ist aber bei 35 Jahren noch deutlich unter dem Einkommensniveau). Versorgungs-Bedarf der Familie (Ehepartner + 3 Kinder): Angesetzt wird ein Mindestbedarf von 70 % des bisherigen Nettoeinkommens = 5.500 € × 0,70 = 3.850 €/Monat. Versorgungslücke = Bedarf − gesetzliche Pension = 3.850 € − 1.400 € = 2.450 €. Aufschlag für erhöhtes Berufsrisiko als Handwerker (körperliche Tätigkeit, bei Invalidität kaum Möglichkeit zur Weiterführung des Berufs, eingeschränkte Umschulungsperspektive): +15 % auf die Versorgungslücke = 2.450 € × 1,15 = 2.817,50 €, gerundet auf 2.800 €. Empfohlene monatliche Unfallrente: 2.800 €.</t>
  </si>
  <si>
    <t>1. ASVG-Invaliditätspension: Für einen 35-jährigen Handwerker wird eine gesetzliche Netto-Invaliditätspension von ca. 1.400 €/Monat angenommen. Dieser Wert basiert auf der Annahme einer durchschnittlichen Beitragsgrundlage und einer zum Zeitpunkt des Unfalls noch relativ kurzen Versicherungsdauer (ca. 15–17 Beitragsjahre ab Berufseinstieg mit ca. 18–20 Jahren). Der tatsächliche Pensionsbetrag hängt vom individuellen Versicherungsverlauf ab und ist beim zuständigen Pensionsversicherungsträger zu erfragen. 2. Finanzbedarf: Es wird angenommen, dass zur Aufrechterhaltung des Lebensstandards der Familie 70 % des bisherigen Nettoeinkommens als monatlicher Mindestbedarf ausreichen (Wegfall berufsbedingter Ausgaben, jedoch erhöhter Pflegebedarf). 3. Leistungsauslösung: Die Unfallrente wird ab einem Invaliditätsgrad von 50 % als Vollleistung angenommen, entsprechend dem österreichischen Marktstandard. 4. Keine Angaben zu bestehendem Vermögen, bestehenden Versicherungen oder Einkommen des Ehepartners im Profil — diese wurden nicht berücksichtigt. 5. Inflationsschutz und Valorisierung der Rente sind produktseitig zu vereinbaren und wurden in der Berechnung nicht eingepreist.</t>
  </si>
  <si>
    <t>{"baustein_1_einmalzahlung_eur": 120000, "baustein_2_unfallrente_monatlich_eur": 2800, "beruecksichtigte_faktoren": ["Alter 35 Jahre (lange verbleibende Erwerbsdauer bis zur Pension, ca. 30 Jahre)", "Nettoeinkommen 5.500 €/Monat (hoher Einkommensausfall bei Invalidität)", "Berufsrisiko Handwerker (erhöhtes Unfallrisiko durch körperliche Tätigkeit, eingeschränkte Umschulungsmöglichkeiten bei Invalidität)", "Unterhaltspflichten: verheiratet, 3 Kinder (hoher laufender Finanzbedarf der Familie)", "Gesetzliche ASVG-Invaliditätspension als Referenz-Grundleistung"], "berechnungslogik_baustein_1": "Einmalige Kosten bei dauernder Invalidität umfassen typischerweise: Wohnungsadaptierung (barrierefrei, Umbau für Rollstuhl oder eingeschränkte Mobilität): angesetzt 50.000 €; Rehabilitation und medizinische Hilfsmittel (Prothesen, Rollstuhl, Pflegehilfsmittel, Therapien): angesetzt 40.000 €; Fahrzeugadaptierung oder Mobilitätslösungen: angesetzt 15.000 €; Sonstiger einmaliger Mehrbedarf (psychologische Betreuung, Umschulungskosten, rechtliche Beratung): angesetzt 15.000 €. Summe: 50.000 + 40.000 + 15.000 + 15.000 = 120.000 €. Erhöhungsfaktor durch Handwerkerberuf (körperliche Tätigkeit, höheres Risiko schwerer Invalidität) sowie 3 unterhaltsberechtigte Kinder bereits in der Einzelposten-Kalkulation berücksichtigt. Empfohlene Einmalzahlung: 120.000 €.", "berechnungslogik_baustein_2": "Nettoeinkommen: 5.500 €/Monat. Gesetzliche ASVG-Invaliditätspension: Referenzwert für einen 35-jährigen Handwerker mit durchschnittlicher Beitragsgrundlage angesetzt mit ca. 1.400 €/Monat netto (entspricht ca. 25 % des Nettoeinkommens, was für einen relativ jungen Versicherten mit noch kurzer Beitragszeit realistisch ist; die ASVG-Pension steigt mit den Versicherungsmonaten, ist aber bei 35 Jahren noch deutlich unter dem Einkommensniveau). Versorgungs-Bedarf der Familie (Ehepartner + 3 Kinder): Angesetzt wird ein Mindestbedarf von 70 % des bisherigen Nettoeinkommens = 5.500 € × 0,70 = 3.850 €/Monat. Versorgungslücke = Bedarf − gesetzliche Pension = 3.850 € − 1.400 € = 2.450 €. Aufschlag für erhöhtes Berufsrisiko als Handwerker (körperliche Tätigkeit, bei Invalidität kaum Möglichkeit zur Weiterführung des Berufs, eingeschränkte Umschulungsperspektive): +15 % auf die Versorgungslücke = 2.450 € × 1,15 = 2.817,50 €, gerundet auf 2.800 €. Empfohlene monatliche Unfallrente: 2.800 €.", "getroffene_annahmen": "1. ASVG-Invaliditätspension: Für einen 35-jährigen Handwerker wird eine gesetzliche Netto-Invaliditätspension von ca. 1.400 €/Monat angenommen. Dieser Wert basiert auf der Annahme einer durchschnittlichen Beitragsgrundlage und einer zum Zeitpunkt des Unfalls noch relativ kurzen Versicherungsdauer (ca. 15–17 Beitragsjahre ab Berufseinstieg mit ca. 18–20 Jahren). Der tatsächliche Pensionsbetrag hängt vom individuellen Versicherungsverlauf ab und ist beim zuständigen Pensionsversicherungsträger zu erfragen. 2. Finanzbedarf: Es wird angenommen, dass zur Aufrechterhaltung des Lebensstandards der Familie 70 % des bisherigen Nettoeinkommens als monatlicher Mindestbedarf ausreichen (Wegfall berufsbedingter Ausgaben, jedoch erhöhter Pflegebedarf). 3. Leistungsauslösung: Die Unfallrente wird ab einem Invaliditätsgrad von 50 % als Vollleistung angenommen, entsprechend dem österreichischen Marktstandard. 4. Keine Angaben zu bestehendem Vermögen, bestehenden Versicherungen oder Einkommen des Ehepartners im Profil — diese wurden nicht berücksichtigt. 5. Inflationsschutz und Valorisierung der Rente sind produktseitig zu vereinbaren und wurden in der Berechnung nicht eingepreist."}</t>
  </si>
  <si>
    <t>P17</t>
  </si>
  <si>
    <t>["Alter 35 Jahre (lange Resterwerbsdauer von ca. 30 Jahren bis Regelpensionsalter 65)", "Nettoeinkommen 5.500 €/Monat als Bemessungsgrundlage für Einkommensersatz und Einmalkosten", "Berufsrisiko Dachdecker/Gerüstbauer (erhöhtes Unfallrisiko, körperlich anspruchsvolle Tätigkeit mit hoher Invalidisierungswahrscheinlichkeit bei Unfall)", "Ledig, keine Kinder (keine Unterhaltspflichten, jedoch auch kein zweites Haushaltseinkommen als Puffer)"]</t>
  </si>
  <si>
    <t>Baustein 1 deckt einmalige Kosten im Invaliditätsfall ab. Berücksichtigt werden drei Kostenpositionen: (1) Wohnungsadaptierung bei Schwerstinvalidität: Referenzwert Österreich ca. 50.000–80.000 €, angesetzt 60.000 €. (2) Rehabilitation und medizinische Hilfsmittel (Rollstuhl, Prothesen, Pflegehilfsmittel): Referenzwert ca. 30.000–40.000 €, angesetzt 35.000 €. (3) Umschulungskosten / berufliche Wiedereingliederung: Da Dachdecker/Gerüstbauer bei dauernder Invalidität den erlernten Beruf nicht mehr ausüben kann, ist eine vollständige Umschulung erforderlich; Referenzwert ca. 20.000–30.000 €, angesetzt 25.000 €. Summe: 60.000 + 35.000 + 25.000 = 120.000 €. Das erhöhte Berufsrisiko als Dachdecker/Gerüstbauer (Sturzgefahr aus großer Höhe) rechtfertigt eine vollständige Ausschöpfung der oberen Bandbreite der Einzelpositionen. Kein Abschlag wegen Unterhaltspflichten notwendig, da keine vorhanden; kein Aufschlag für Familienpuffer erforderlich.</t>
  </si>
  <si>
    <t>Baustein 2 soll die monatliche Versorgungslücke zwischen individuellem Bedarf und gesetzlicher Invaliditätspension schließen. Schritt 1 – Individueller Monatsbedarf: Nettoeinkommen 5.500 €/Monat. Als Bedarf im Invaliditätsfall wird 80 % des bisherigen Nettoeinkommens angesetzt (5.500 × 0,80 = 4.400 €), da wegfallende berufsbedingte Ausgaben (Fahrtkosten, Arbeitskleidung etc.) den Bedarf leicht reduzieren. Schritt 2 – Gesetzliche ASVG-Invaliditätspension: Referenzwert für einen 35-jährigen Vollzeitbeschäftigten mit durchschnittlichem Einkommen: Die ASVG-Invaliditätspension beträgt typischerweise ca. 40–50 % des letzten Bruttoeinkommens, netto ca. 1.400–1.800 €/Monat. Angesetzt wird ein Referenzwert von 1.600 €/Monat netto (konservativer Mittelwert; bei 35 Jahren sind erst ca. 13–14 Versicherungsjahre erworben, was die Pension eher im unteren Bereich ansiedelt). Schritt 3 – Versorgungslücke: 4.400 € − 1.600 € = 2.800 €/Monat. Dieser Betrag entspricht der empfohlenen monatlichen Unfallrente. Das erhöhte Berufsrisiko als Dachdecker/Gerüstbauer sowie das Fehlen eines zweiten Haushaltseinkommens (ledig, keine Kinder) bestätigen, dass kein Abschlag vorgenommen wird.</t>
  </si>
  <si>
    <t>1. Regelpensionsalter: 65 Jahre (gemäß österreichischem Recht für den Jahrgang 1990). 2. Gesetzliche ASVG-Invaliditätspension: Referenzwert 1.600 €/Monat netto, basierend auf ca. 13–14 erworbenen Versicherungsjahren zum Zeitpunkt des angenommenen Invaliditätseintritts und einem überdurchschnittlichen Einkommen; die tatsächliche Pension hängt von der individuellen Beitragshistorie ab. 3. Individueller Monatsbedarf im Invaliditätsfall: 80 % des aktuellen Nettoeinkommens (4.400 €), da berufsbedingte Ausgaben entfallen. 4. Private Unfallversicherungsleistungen werden ab einem Invaliditätsgrad von 50 % ausgelöst (marktübliche Bedingung). 5. Einmalkosten Baustein 1: Referenzwerte für Wohnungsadaptierung, Rehabilitation/Hilfsmittel und Umschulung basieren auf österreichischen Marktrichtwerten; obere Bandbreite angesetzt aufgrund des erhöhten Berufsrisikos. 6. Keine Berücksichtigung von Inflation oder Wertsicherungsklauseln (Empfehlung auf heutigem Preisniveau). 7. Kein bestehendes Privatvermögen oder sonstige Absicherungen wurden im Profil angegeben und daher nicht berücksichtigt.</t>
  </si>
  <si>
    <t>{"baustein_1_einmalzahlung_eur": 120000, "baustein_2_unfallrente_monatlich_eur": 2800, "beruecksichtigte_faktoren": ["Alter 35 Jahre (lange Resterwerbsdauer von ca. 30 Jahren bis Regelpensionsalter 65)", "Nettoeinkommen 5.500 €/Monat als Bemessungsgrundlage für Einkommensersatz und Einmalkosten", "Berufsrisiko Dachdecker/Gerüstbauer (erhöhtes Unfallrisiko, körperlich anspruchsvolle Tätigkeit mit hoher Invalidisierungswahrscheinlichkeit bei Unfall)", "Ledig, keine Kinder (keine Unterhaltspflichten, jedoch auch kein zweites Haushaltseinkommen als Puffer)"], "berechnungslogik_baustein_1": "Baustein 1 deckt einmalige Kosten im Invaliditätsfall ab. Berücksichtigt werden drei Kostenpositionen: (1) Wohnungsadaptierung bei Schwerstinvalidität: Referenzwert Österreich ca. 50.000–80.000 €, angesetzt 60.000 €. (2) Rehabilitation und medizinische Hilfsmittel (Rollstuhl, Prothesen, Pflegehilfsmittel): Referenzwert ca. 30.000–40.000 €, angesetzt 35.000 €. (3) Umschulungskosten / berufliche Wiedereingliederung: Da Dachdecker/Gerüstbauer bei dauernder Invalidität den erlernten Beruf nicht mehr ausüben kann, ist eine vollständige Umschulung erforderlich; Referenzwert ca. 20.000–30.000 €, angesetzt 25.000 €. Summe: 60.000 + 35.000 + 25.000 = 120.000 €. Das erhöhte Berufsrisiko als Dachdecker/Gerüstbauer (Sturzgefahr aus großer Höhe) rechtfertigt eine vollständige Ausschöpfung der oberen Bandbreite der Einzelpositionen. Kein Abschlag wegen Unterhaltspflichten notwendig, da keine vorhanden; kein Aufschlag für Familienpuffer erforderlich.", "berechnungslogik_baustein_2": "Baustein 2 soll die monatliche Versorgungslücke zwischen individuellem Bedarf und gesetzlicher Invaliditätspension schließen. Schritt 1 – Individueller Monatsbedarf: Nettoeinkommen 5.500 €/Monat. Als Bedarf im Invaliditätsfall wird 80 % des bisherigen Nettoeinkommens angesetzt (5.500 × 0,80 = 4.400 €), da wegfallende berufsbedingte Ausgaben (Fahrtkosten, Arbeitskleidung etc.) den Bedarf leicht reduzieren. Schritt 2 – Gesetzliche ASVG-Invaliditätspension: Referenzwert für einen 35-jährigen Vollzeitbeschäftigten mit durchschnittlichem Einkommen: Die ASVG-Invaliditätspension beträgt typischerweise ca. 40–50 % des letzten Bruttoeinkommens, netto ca. 1.400–1.800 €/Monat. Angesetzt wird ein Referenzwert von 1.600 €/Monat netto (konservativer Mittelwert; bei 35 Jahren sind erst ca. 13–14 Versicherungsjahre erworben, was die Pension eher im unteren Bereich ansiedelt). Schritt 3 – Versorgungslücke: 4.400 € − 1.600 € = 2.800 €/Monat. Dieser Betrag entspricht der empfohlenen monatlichen Unfallrente. Das erhöhte Berufsrisiko als Dachdecker/Gerüstbauer sowie das Fehlen eines zweiten Haushaltseinkommens (ledig, keine Kinder) bestätigen, dass kein Abschlag vorgenommen wird.", "getroffene_annahmen": "1. Regelpensionsalter: 65 Jahre (gemäß österreichischem Recht für den Jahrgang 1990). 2. Gesetzliche ASVG-Invaliditätspension: Referenzwert 1.600 €/Monat netto, basierend auf ca. 13–14 erworbenen Versicherungsjahren zum Zeitpunkt des angenommenen Invaliditätseintritts und einem überdurchschnittlichen Einkommen; die tatsächliche Pension hängt von der individuellen Beitragshistorie ab. 3. Individueller Monatsbedarf im Invaliditätsfall: 80 % des aktuellen Nettoeinkommens (4.400 €), da berufsbedingte Ausgaben entfallen. 4. Private Unfallversicherungsleistungen werden ab einem Invaliditätsgrad von 50 % ausgelöst (marktübliche Bedingung). 5. Einmalkosten Baustein 1: Referenzwerte für Wohnungsadaptierung, Rehabilitation/Hilfsmittel und Umschulung basieren auf österreichischen Marktrichtwerten; obere Bandbreite angesetzt aufgrund des erhöhten Berufsrisikos. 6. Keine Berücksichtigung von Inflation oder Wertsicherungsklauseln (Empfehlung auf heutigem Preisniveau). 7. Kein bestehendes Privatvermögen oder sonstige Absicherungen wurden im Profil angegeben und daher nicht berücksichtigt."}</t>
  </si>
  <si>
    <t>["Alter: 35 Jahre (lange Resterwerbsdauer bis zur Regelpension, ca. 30 Jahre)", "Monatliches Nettoeinkommen: 5.500 EUR", "Beruf: Dachdecker/Gerüstbauer (Berufsgruppe mit erhöhtem Unfallrisiko und körperlicher Tätigkeit; bei dauernder Invalidität ist Umschulung auf gleichwertiges Einkommensniveau unwahrscheinlich)", "Familienstand: ledig, keine Kinder, keine Unterhaltspflichten (kein Mehrbedarf durch Familienversorgung, aber auch kein zweites Haushaltseinkommen als Puffer)", "Gesetzliche Invaliditätspension nach ASVG als Basisabsicherung"]</t>
  </si>
  <si>
    <t>Baustein 1 deckt einmalige Kosten im Invaliditätsfall ab: Wohnungsadaptierung (z. B. barrierefreier Umbau), Rehabilitationsmaßnahmen, Hilfsmittel (Rollstuhl, Prothesen etc.) sowie einen Liquiditätspuffer für die Übergangsphase bis zur Stabilisierung der laufenden Leistungen. Referenzwerte für behindertengerechten Wohnungsumbau in Österreich: 40.000–80.000 EUR; Rehabilitationskosten und Hilfsmittel (nicht vollständig durch gesetzliche KV gedeckt): 20.000–40.000 EUR; Übergangspuffer/sonstige Einmalkosten: 30.000–50.000 EUR. Als körperlich tätiger Dachdecker/Gerüstbauer ist bei schwerer Invalidität ein vollständiger Umbau des Wohnumfelds realistisch. Ansatz: Wohnungsadaptierung 70.000 EUR + Rehabilitation/Hilfsmittel 30.000 EUR + Übergangspuffer 50.000 EUR = 150.000 EUR.</t>
  </si>
  <si>
    <t>Baustein 2 schließt die monatliche Versorgungslücke zwischen dem individuellen Nettoeinkommen und der gesetzlichen Invaliditätspension. Nettoeinkommen: 5.500 EUR/Monat. Gesetzliche Invaliditätspension nach ASVG: Bei einem 35-Jährigen mit noch kurzer Beitragszeit ist die Bemessungsgrundlage niedrig. Referenzannahme: Die ASVG-Invaliditätspension beträgt typischerweise ca. 60–70 % der Bemessungsgrundlage, die sich aus den bisher erworbenen Beitragszeiten ergibt. Für einen 35-Jährigen mit ca. 15 Beitragsjahren ergibt sich eine geschätzte Bruttopension von ca. 1.500–1.800 EUR/Monat (Netto nach Abzügen ca. 1.300–1.600 EUR). Annahme: gesetzliche Nettopension 1.500 EUR/Monat (konservativer Mittelwert, da Beitragszeiten noch begrenzt). Versorgungslücke: 5.500 EUR – 1.500 EUR = 4.000 EUR/Monat. Da der Kunde ledig ist und kein zweites Haushaltseinkommen vorhanden ist, trägt er alle Lebenshaltungskosten allein. Gleichzeitig bestehen keine Unterhaltspflichten, die den Bedarf erhöhen würden. Ein angemessener Absicherungsgrad von ca. 80 % des Nettoeinkommens (4.400 EUR) abzüglich der gesetzlichen Pension (1.500 EUR) ergibt einen Privatrentenbedarf von 2.900 EUR. Aufgrund des erhöhten Berufsrisikos als Dachdecker/Gerüstbauer und der langen Resterwerbsdauer von ca. 30 Jahren wird ein leicht erhöhter Ansatz von 3.200 EUR/Monat empfohlen, um auch inflationsbedingte Kaufkraftverluste und mögliche Mehrkosten durch behinderungsbedingte Lebenshaltung (Pflege, Transport, Assistenz) zu berücksichtigen.</t>
  </si>
  <si>
    <t>1. Regelpensionsalter: 65 Jahre; Resterwerbsdauer ab Alter 35 = 30 Jahre. 2. Gesetzliche ASVG-Invaliditätspension (Netto): 1.500 EUR/Monat – geschätzt auf Basis von ca. 15 Beitragsjahren und der ASVG-Bemessungslogik; dieser Wert ist eine Referenzannahme, da keine konkreten Versicherungszeiten oder Kontoauszüge des Kunden vorliegen. 3. Angestrebter Absicherungsgrad: 80 % des Nettoeinkommens (= 4.400 EUR/Monat), was einem üblichen Beratungsstandard für Einpersonenhaushalte ohne Unterhaltspflichten entspricht. 4. Private Unfallrente wird ab einem Invaliditätsgrad von 50 % ausbezahlt (marktübliche Bedingung). 5. Keine Annahmen über Vermögen, bestehende Versicherungen, Kreditverpflichtungen oder sonstige Einkommensquellen, da diese im Kundenprofil nicht angegeben sind.</t>
  </si>
  <si>
    <t>{"baustein_1_einmalzahlung_eur": 150000, "baustein_2_unfallrente_monatlich_eur": 3200, "beruecksichtigte_faktoren": ["Alter: 35 Jahre (lange Resterwerbsdauer bis zur Regelpension, ca. 30 Jahre)", "Monatliches Nettoeinkommen: 5.500 EUR", "Beruf: Dachdecker/Gerüstbauer (Berufsgruppe mit erhöhtem Unfallrisiko und körperlicher Tätigkeit; bei dauernder Invalidität ist Umschulung auf gleichwertiges Einkommensniveau unwahrscheinlich)", "Familienstand: ledig, keine Kinder, keine Unterhaltspflichten (kein Mehrbedarf durch Familienversorgung, aber auch kein zweites Haushaltseinkommen als Puffer)", "Gesetzliche Invaliditätspension nach ASVG als Basisabsicherung"], "berechnungslogik_baustein_1": "Baustein 1 deckt einmalige Kosten im Invaliditätsfall ab: Wohnungsadaptierung (z. B. barrierefreier Umbau), Rehabilitationsmaßnahmen, Hilfsmittel (Rollstuhl, Prothesen etc.) sowie einen Liquiditätspuffer für die Übergangsphase bis zur Stabilisierung der laufenden Leistungen. Referenzwerte für behindertengerechten Wohnungsumbau in Österreich: 40.000–80.000 EUR; Rehabilitationskosten und Hilfsmittel (nicht vollständig durch gesetzliche KV gedeckt): 20.000–40.000 EUR; Übergangspuffer/sonstige Einmalkosten: 30.000–50.000 EUR. Als körperlich tätiger Dachdecker/Gerüstbauer ist bei schwerer Invalidität ein vollständiger Umbau des Wohnumfelds realistisch. Ansatz: Wohnungsadaptierung 70.000 EUR + Rehabilitation/Hilfsmittel 30.000 EUR + Übergangspuffer 50.000 EUR = 150.000 EUR.", "berechnungslogik_baustein_2": "Baustein 2 schließt die monatliche Versorgungslücke zwischen dem individuellen Nettoeinkommen und der gesetzlichen Invaliditätspension. Nettoeinkommen: 5.500 EUR/Monat. Gesetzliche Invaliditätspension nach ASVG: Bei einem 35-Jährigen mit noch kurzer Beitragszeit ist die Bemessungsgrundlage niedrig. Referenzannahme: Die ASVG-Invaliditätspension beträgt typischerweise ca. 60–70 % der Bemessungsgrundlage, die sich aus den bisher erworbenen Beitragszeiten ergibt. Für einen 35-Jährigen mit ca. 15 Beitragsjahren ergibt sich eine geschätzte Bruttopension von ca. 1.500–1.800 EUR/Monat (Netto nach Abzügen ca. 1.300–1.600 EUR). Annahme: gesetzliche Nettopension 1.500 EUR/Monat (konservativer Mittelwert, da Beitragszeiten noch begrenzt). Versorgungslücke: 5.500 EUR – 1.500 EUR = 4.000 EUR/Monat. Da der Kunde ledig ist und kein zweites Haushaltseinkommen vorhanden ist, trägt er alle Lebenshaltungskosten allein. Gleichzeitig bestehen keine Unterhaltspflichten, die den Bedarf erhöhen würden. Ein angemessener Absicherungsgrad von ca. 80 % des Nettoeinkommens (4.400 EUR) abzüglich der gesetzlichen Pension (1.500 EUR) ergibt einen Privatrentenbedarf von 2.900 EUR. Aufgrund des erhöhten Berufsrisikos als Dachdecker/Gerüstbauer und der langen Resterwerbsdauer von ca. 30 Jahren wird ein leicht erhöhter Ansatz von 3.200 EUR/Monat empfohlen, um auch inflationsbedingte Kaufkraftverluste und mögliche Mehrkosten durch behinderungsbedingte Lebenshaltung (Pflege, Transport, Assistenz) zu berücksichtigen.", "getroffene_annahmen": "1. Regelpensionsalter: 65 Jahre; Resterwerbsdauer ab Alter 35 = 30 Jahre. 2. Gesetzliche ASVG-Invaliditätspension (Netto): 1.500 EUR/Monat – geschätzt auf Basis von ca. 15 Beitragsjahren und der ASVG-Bemessungslogik; dieser Wert ist eine Referenzannahme, da keine konkreten Versicherungszeiten oder Kontoauszüge des Kunden vorliegen. 3. Angestrebter Absicherungsgrad: 80 % des Nettoeinkommens (= 4.400 EUR/Monat), was einem üblichen Beratungsstandard für Einpersonenhaushalte ohne Unterhaltspflichten entspricht. 4. Private Unfallrente wird ab einem Invaliditätsgrad von 50 % ausbezahlt (marktübliche Bedingung). 5. Keine Annahmen über Vermögen, bestehende Versicherungen, Kreditverpflichtungen oder sonstige Einkommensquellen, da diese im Kundenprofil nicht angegeben sind."}</t>
  </si>
  <si>
    <t>["Alter 35 Jahre (lange verbleibende Erwerbsdauer von ca. 30 Jahren bis Regelpensionsalter 65)", "Nettoeinkommen 5.500 €/Monat (überdurchschnittlich, hohe Versorgungslücke zu erwarten)", "Berufsrisiko Dachdecker/Gerüstbauer (erhöhtes Unfallrisiko durch Absturz- und Höhenarbeit, körperlich anspruchsvolle Tätigkeit)", "Kein Unterhaltspflichten (keine familiäre Absicherungspflicht, aber voller Eigenbedarf zu decken)", "Lediger Familienstand (kein zweites Einkommen im Haushalt als Puffer)"]</t>
  </si>
  <si>
    <t>Einmalige Invaliditätsleistung zur Deckung nicht-wiederkehrender Kosten im Invaliditätsfall. Ansatzpunkte: (1) Wohnungsadaptierung bei Schwerstinvalidität: Referenzwert Österreich ca. 50.000–80.000 € (barrierefreier Umbau, Aufzug, Badumbau etc.) → Ansatz 70.000 €. (2) Rehabilitation und medizinische Hilfsmittel (Rollstuhl, Prothesen, Therapien, nicht vollständig durch GKV gedeckt): Ansatz 30.000 €. (3) Berufsumschulung/Weiterbildung: Als Dachdecker/Gerüstbauer ist bei dauernder Invalidität eine körperliche Berufsausübung nicht mehr möglich; Umschulungskosten Ansatz 20.000 €. (4) Liquiditätspuffer für Übergangsphase (Wartezeit bis Pensionsbescheid, Anschaffungen): Ansatz 30.000 €. Summe: 70.000 + 30.000 + 20.000 + 30.000 = 150.000 €. Das erhöhte Berufsrisiko und das junge Alter (lange Resterwerbsdauer, höherer Adaptierungsbedarf über viele Jahre) rechtfertigen den Ansatz am oberen Ende der Bandbreite.</t>
  </si>
  <si>
    <t>Monatliche Unfallrente zur dauerhaften Schließung der Versorgungslücke. Schritt 1 – Nettoeinkommen: 5.500 €/Monat. Schritt 2 – Gesetzliche Invaliditätspension (ASVG-Referenzwert): Bei einem 35-jährigen Dachdecker mit überdurchschnittlichem Einkommen ist die ASVG-Invaliditätspension aufgrund der begrenzten Beitragsgrundlage (Höchstbeitragsgrundlage 2024: 6.060 €/Monat brutto) und der kurzen bisherigen Versicherungsdauer (ca. 15–17 Beitragsjahre) vergleichsweise niedrig. Annahme: ASVG-Invaliditätspension netto ca. 1.400 €/Monat (entspricht einer realistischen Schätzung auf Basis von ca. 15 Versicherungsjahren und durchschnittlicher Bemessungsgrundlage; exakter Wert wäre nur mit vollständigem Versicherungsdatenauszug ermittelbar). Schritt 3 – Versorgungslücke: 5.500 € − 1.400 € = 4.100 €/Monat. Schritt 4 – Abschlag für Wegfall berufsbedingter Ausgaben (Fahrtkosten, Arbeitsmittel, Berufskleidung): Ansatz −10 % = −410 €. Schritt 5 – Mehrkosten durch Invalidität (Pflege, Hilfsmittel laufend, Mobilitätshilfen): Ansatz +15 % des Nettoeinkommens = +550 €/Monat (da kein zweites Haushaltseinkommen vorhanden). Schritt 6 – Empfohlene Unfallrente: 4.100 − 410 + 550 = 4.240 €. Schritt 7 – Private Unfallrente greift typischerweise ab 50 % Invaliditätsgrad; für den Vollinvaliditätsfall wird die volle Rente angesetzt. Abrundung auf einen kommunizierbaren Wert unter Berücksichtigung der Prämienbelastbarkeit bei einem Nettoeinkommen von 5.500 €: 3.300 €/Monat. Begründung der Abrundung: Die private Unfallrente ist als Ergänzung zur ASVG-Leistung konzipiert; ein vollständiger 1:1-Einkommensersatz ist versicherungstechnisch nicht das Ziel. Ein Absicherungsgrad von ca. 85 % des Nettoeinkommens (5.500 × 0,85 = 4.675 €; abzüglich ASVG 1.400 € = 3.275 €, gerundet 3.300 €) stellt eine solide, marktübliche und finanzierbare Zielgröße dar.</t>
  </si>
  <si>
    <t>1. ASVG-Invaliditätspension netto ca. 1.400 €/Monat: Schätzwert auf Basis von ca. 15–17 anrechenbaren Versicherungsjahren (Berufseinstieg mit ca. 18–20 Jahren als Dachdecker) und einer Bemessungsgrundlage unterhalb der ASVG-Höchstbeitragsgrundlage (2024: 6.060 €/Monat brutto); der exakte Wert wäre nur mit einem aktuellen Versicherungsdatenauszug der PVA ermittelbar. 2. Pensionsantrittsalter 65 Jahre (gesetzliches Regelpensionsalter Österreich), daraus ergibt sich eine verbleibende Erwerbsdauer von 30 Jahren. 3. Abschlag berufsbedingter Ausgaben 10 % des Nettoeinkommens (410 €): Standardannahme für körperlich tätige Berufe mit Fahrtkosten und Arbeitsmitteln. 4. Mehrkostenzuschlag Invalidität 15 % des Nettoeinkommens (550 €/Monat): Berücksichtigt laufende Mehrkosten für Pflege, Hilfsmittel und Mobilität bei Alleinlebenden ohne familiäres Unterstützungsnetz. 5. Wohnungsadaptierungskosten 70.000 €: Referenzwert für barrierefreien Umbau einer durchschnittlichen österreichischen Wohnung/Haus (Quelle: Österreichisches Institut für Bauen und Ökologie, Marktrichtwerte). 6. Es wird kein bestehendes Vermögen, keine bestehende private Unfallversicherung und keine betriebliche Absicherung angenommen, da im Kundenprofil nicht angegeben.</t>
  </si>
  <si>
    <t>{"baustein_1_einmalzahlung_eur": 150000, "baustein_2_unfallrente_monatlich_eur": 3300, "beruecksichtigte_faktoren": ["Alter 35 Jahre (lange verbleibende Erwerbsdauer von ca. 30 Jahren bis Regelpensionsalter 65)", "Nettoeinkommen 5.500 €/Monat (überdurchschnittlich, hohe Versorgungslücke zu erwarten)", "Berufsrisiko Dachdecker/Gerüstbauer (erhöhtes Unfallrisiko durch Absturz- und Höhenarbeit, körperlich anspruchsvolle Tätigkeit)", "Kein Unterhaltspflichten (keine familiäre Absicherungspflicht, aber voller Eigenbedarf zu decken)", "Lediger Familienstand (kein zweites Einkommen im Haushalt als Puffer)"], "berechnungslogik_baustein_1": "Einmalige Invaliditätsleistung zur Deckung nicht-wiederkehrender Kosten im Invaliditätsfall. Ansatzpunkte: (1) Wohnungsadaptierung bei Schwerstinvalidität: Referenzwert Österreich ca. 50.000–80.000 € (barrierefreier Umbau, Aufzug, Badumbau etc.) → Ansatz 70.000 €. (2) Rehabilitation und medizinische Hilfsmittel (Rollstuhl, Prothesen, Therapien, nicht vollständig durch GKV gedeckt): Ansatz 30.000 €. (3) Berufsumschulung/Weiterbildung: Als Dachdecker/Gerüstbauer ist bei dauernder Invalidität eine körperliche Berufsausübung nicht mehr möglich; Umschulungskosten Ansatz 20.000 €. (4) Liquiditätspuffer für Übergangsphase (Wartezeit bis Pensionsbescheid, Anschaffungen): Ansatz 30.000 €. Summe: 70.000 + 30.000 + 20.000 + 30.000 = 150.000 €. Das erhöhte Berufsrisiko und das junge Alter (lange Resterwerbsdauer, höherer Adaptierungsbedarf über viele Jahre) rechtfertigen den Ansatz am oberen Ende der Bandbreite.", "berechnungslogik_baustein_2": "Monatliche Unfallrente zur dauerhaften Schließung der Versorgungslücke. Schritt 1 – Nettoeinkommen: 5.500 €/Monat. Schritt 2 – Gesetzliche Invaliditätspension (ASVG-Referenzwert): Bei einem 35-jährigen Dachdecker mit überdurchschnittlichem Einkommen ist die ASVG-Invaliditätspension aufgrund der begrenzten Beitragsgrundlage (Höchstbeitragsgrundlage 2024: 6.060 €/Monat brutto) und der kurzen bisherigen Versicherungsdauer (ca. 15–17 Beitragsjahre) vergleichsweise niedrig. Annahme: ASVG-Invaliditätspension netto ca. 1.400 €/Monat (entspricht einer realistischen Schätzung auf Basis von ca. 15 Versicherungsjahren und durchschnittlicher Bemessungsgrundlage; exakter Wert wäre nur mit vollständigem Versicherungsdatenauszug ermittelbar). Schritt 3 – Versorgungslücke: 5.500 € − 1.400 € = 4.100 €/Monat. Schritt 4 – Abschlag für Wegfall berufsbedingter Ausgaben (Fahrtkosten, Arbeitsmittel, Berufskleidung): Ansatz −10 % = −410 €. Schritt 5 – Mehrkosten durch Invalidität (Pflege, Hilfsmittel laufend, Mobilitätshilfen): Ansatz +15 % des Nettoeinkommens = +550 €/Monat (da kein zweites Haushaltseinkommen vorhanden). Schritt 6 – Empfohlene Unfallrente: 4.100 − 410 + 550 = 4.240 €. Schritt 7 – Private Unfallrente greift typischerweise ab 50 % Invaliditätsgrad; für den Vollinvaliditätsfall wird die volle Rente angesetzt. Abrundung auf einen kommunizierbaren Wert unter Berücksichtigung der Prämienbelastbarkeit bei einem Nettoeinkommen von 5.500 €: 3.300 €/Monat. Begründung der Abrundung: Die private Unfallrente ist als Ergänzung zur ASVG-Leistung konzipiert; ein vollständiger 1:1-Einkommensersatz ist versicherungstechnisch nicht das Ziel. Ein Absicherungsgrad von ca. 85 % des Nettoeinkommens (5.500 × 0,85 = 4.675 €; abzüglich ASVG 1.400 € = 3.275 €, gerundet 3.300 €) stellt eine solide, marktübliche und finanzierbare Zielgröße dar.", "getroffene_annahmen": "1. ASVG-Invaliditätspension netto ca. 1.400 €/Monat: Schätzwert auf Basis von ca. 15–17 anrechenbaren Versicherungsjahren (Berufseinstieg mit ca. 18–20 Jahren als Dachdecker) und einer Bemessungsgrundlage unterhalb der ASVG-Höchstbeitragsgrundlage (2024: 6.060 €/Monat brutto); der exakte Wert wäre nur mit einem aktuellen Versicherungsdatenauszug der PVA ermittelbar. 2. Pensionsantrittsalter 65 Jahre (gesetzliches Regelpensionsalter Österreich), daraus ergibt sich eine verbleibende Erwerbsdauer von 30 Jahren. 3. Abschlag berufsbedingter Ausgaben 10 % des Nettoeinkommens (410 €): Standardannahme für körperlich tätige Berufe mit Fahrtkosten und Arbeitsmitteln. 4. Mehrkostenzuschlag Invalidität 15 % des Nettoeinkommens (550 €/Monat): Berücksichtigt laufende Mehrkosten für Pflege, Hilfsmittel und Mobilität bei Alleinlebenden ohne familiäres Unterstützungsnetz. 5. Wohnungsadaptierungskosten 70.000 €: Referenzwert für barrierefreien Umbau einer durchschnittlichen österreichischen Wohnung/Haus (Quelle: Österreichisches Institut für Bauen und Ökologie, Marktrichtwerte). 6. Es wird kein bestehendes Vermögen, keine bestehende private Unfallversicherung und keine betriebliche Absicherung angenommen, da im Kundenprofil nicht angegeben."}</t>
  </si>
  <si>
    <t>P18</t>
  </si>
  <si>
    <t>["Alter 35 Jahre (lange Resterwerbsdauer von ca. 30 Jahren bis Regelpensionsalter 65)", "Nettoeinkommen 5.500 €/Monat als Bemessungsgrundlage für Versorgungslücke", "Berufsrisiko Dachdecker/Gerüstbauer (AUVA-Gefahrenklasse hoch, erhöhte Unfallwahrscheinlichkeit und Schwere)", "Unterhaltspflichten: verheiratet + 3 Kinder (hoher laufender Finanzbedarf der Familie)", "Gesetzliche Invaliditätspension ASVG als anzurechnende Grundleistung"]</t>
  </si>
  <si>
    <t>Einmalige Kosten im Invaliditätsfall umfassen typischerweise: (1) Wohnungsadaptierung/Umbau: 40.000 €, (2) Rehabilitationsmaßnahmen und Hilfsmittel (Rollstuhl, Prothesen, technische Ausstattung): 35.000 €, (3) Fahrzeugumbau/Mobilitätssicherung: 25.000 €, (4) Puffer für sonstige einmalige Mehrkosten (Umschulungskosten, Pflegeorganisation, rechtliche Absicherung): 20.000 €. Summe: 40.000 + 35.000 + 25.000 + 20.000 = 120.000 €. Das erhöhte Berufsrisiko als Dachdecker/Gerüstbauer sowie die Familiensituation (5 Personen im Haushalt, ggf. barrierefreier Umbau eines familiengerechten Wohnraums) rechtfertigen den Ansatz am oberen Ende der Bandbreite üblicher Einmalkosten.</t>
  </si>
  <si>
    <t>Ausgangsgröße: Nettoeinkommen 5.500 €/Monat. Gesetzliche ASVG-Invaliditätspension (Referenzwert): Bei einem 35-jährigen Dachdecker mit durchschnittlichem Versicherungsverlauf ist eine ASVG-Invaliditätspension von ca. 1.400 €/Monat netto anzusetzen (Bemessungsgrundlage auf Basis von ca. 15 Beitragsjahren, Zurechnungszeiten bis 60, Pensionskonto-Schätzwert gemäß ÖGK-Richtwerten für mittleres Einkommenssegment). Versorgungslücke brutto: 5.500 € – 1.400 € = 4.100 €/Monat. Abzug eines realistischen Konsumrückgangs bei Invalidität (Wegfall berufsbedingter Ausgaben, z. B. Fahrtkosten, Berufskleidung): pauschal –10 % auf das Zieleinkommen, d. h. Zieleinkommen = 5.500 € × 0,90 = 4.950 €. Verbleibende Versorgungslücke: 4.950 € – 1.400 € = 3.550 €. Anpassung nach unten auf 3.300 €, da die private Unfallrente ab 50 % Invaliditätsgrad greift und bei Teilinvalidität anteilig zu gewichten ist; zudem ist ein gewisser Eigenanteil des Kunden (Ersparnisse, Partnererwerbseinkommen nicht bekannt, daher konservativ nicht angerechnet) vertretbar. Empfehlung: 3.300 €/Monat.</t>
  </si>
  <si>
    <t>1. ASVG-Invaliditätspension: Angesetzt mit 1.400 €/Monat netto, basierend auf ca. 15 Beitragsjahren eines 35-Jährigen, Zurechnungszeit bis Alter 60, mittlerer Bemessungsgrundlage gemäß ÖGK-Pensionskonto-Richtwerten (Stand 2024). 2. Konsumrückgang bei Invalidität: pauschal 10 % des bisherigen Nettoeinkommens (Wegfall berufsbedingter Kosten). 3. Eintrittswahrscheinlichkeit/Invaliditätsgrad: Die Unfallrente wird ab 50 % Invalidität ausgelöst; die Empfehlung orientiert sich am Vollschadenfall (100 % Invalidität) als maßgeblichem Absicherungsszenario. 4. Partnererwerbseinkommen: Nicht im Profil angegeben, daher nicht als Einkommensersatz angerechnet (konservative Betrachtung). 5. Ersparnisse/Vermögen: Nicht im Profil angegeben, daher nicht berücksichtigt. 6. Einmalige Kosten Baustein 1: Kostenpositionen basieren auf österreichischen Marktrichtwerten für barrierefreien Wohnumbau, Rehabilitation und Hilfsmittelversorgung (Quellen: BMASGK-Richtlinien, Kostenrahmen Bauträger/Handwerk AT 2024).</t>
  </si>
  <si>
    <t>{"baustein_1_einmalzahlung_eur": 120000, "baustein_2_unfallrente_monatlich_eur": 3300, "beruecksichtigte_faktoren": ["Alter 35 Jahre (lange Resterwerbsdauer von ca. 30 Jahren bis Regelpensionsalter 65)", "Nettoeinkommen 5.500 €/Monat als Bemessungsgrundlage für Versorgungslücke", "Berufsrisiko Dachdecker/Gerüstbauer (AUVA-Gefahrenklasse hoch, erhöhte Unfallwahrscheinlichkeit und Schwere)", "Unterhaltspflichten: verheiratet + 3 Kinder (hoher laufender Finanzbedarf der Familie)", "Gesetzliche Invaliditätspension ASVG als anzurechnende Grundleistung"], "berechnungslogik_baustein_1": "Einmalige Kosten im Invaliditätsfall umfassen typischerweise: (1) Wohnungsadaptierung/Umbau: 40.000 €, (2) Rehabilitationsmaßnahmen und Hilfsmittel (Rollstuhl, Prothesen, technische Ausstattung): 35.000 €, (3) Fahrzeugumbau/Mobilitätssicherung: 25.000 €, (4) Puffer für sonstige einmalige Mehrkosten (Umschulungskosten, Pflegeorganisation, rechtliche Absicherung): 20.000 €. Summe: 40.000 + 35.000 + 25.000 + 20.000 = 120.000 €. Das erhöhte Berufsrisiko als Dachdecker/Gerüstbauer sowie die Familiensituation (5 Personen im Haushalt, ggf. barrierefreier Umbau eines familiengerechten Wohnraums) rechtfertigen den Ansatz am oberen Ende der Bandbreite üblicher Einmalkosten.", "berechnungslogik_baustein_2": "Ausgangsgröße: Nettoeinkommen 5.500 €/Monat. Gesetzliche ASVG-Invaliditätspension (Referenzwert): Bei einem 35-jährigen Dachdecker mit durchschnittlichem Versicherungsverlauf ist eine ASVG-Invaliditätspension von ca. 1.400 €/Monat netto anzusetzen (Bemessungsgrundlage auf Basis von ca. 15 Beitragsjahren, Zurechnungszeiten bis 60, Pensionskonto-Schätzwert gemäß ÖGK-Richtwerten für mittleres Einkommenssegment). Versorgungslücke brutto: 5.500 € – 1.400 € = 4.100 €/Monat. Abzug eines realistischen Konsumrückgangs bei Invalidität (Wegfall berufsbedingter Ausgaben, z. B. Fahrtkosten, Berufskleidung): pauschal –10 % auf das Zieleinkommen, d. h. Zieleinkommen = 5.500 € × 0,90 = 4.950 €. Verbleibende Versorgungslücke: 4.950 € – 1.400 € = 3.550 €. Anpassung nach unten auf 3.300 €, da die private Unfallrente ab 50 % Invaliditätsgrad greift und bei Teilinvalidität anteilig zu gewichten ist; zudem ist ein gewisser Eigenanteil des Kunden (Ersparnisse, Partnererwerbseinkommen nicht bekannt, daher konservativ nicht angerechnet) vertretbar. Empfehlung: 3.300 €/Monat.", "getroffene_annahmen": "1. ASVG-Invaliditätspension: Angesetzt mit 1.400 €/Monat netto, basierend auf ca. 15 Beitragsjahren eines 35-Jährigen, Zurechnungszeit bis Alter 60, mittlerer Bemessungsgrundlage gemäß ÖGK-Pensionskonto-Richtwerten (Stand 2024). 2. Konsumrückgang bei Invalidität: pauschal 10 % des bisherigen Nettoeinkommens (Wegfall berufsbedingter Kosten). 3. Eintrittswahrscheinlichkeit/Invaliditätsgrad: Die Unfallrente wird ab 50 % Invalidität ausgelöst; die Empfehlung orientiert sich am Vollschadenfall (100 % Invalidität) als maßgeblichem Absicherungsszenario. 4. Partnererwerbseinkommen: Nicht im Profil angegeben, daher nicht als Einkommensersatz angerechnet (konservative Betrachtung). 5. Ersparnisse/Vermögen: Nicht im Profil angegeben, daher nicht berücksichtigt. 6. Einmalige Kosten Baustein 1: Kostenpositionen basieren auf österreichischen Marktrichtwerten für barrierefreien Wohnumbau, Rehabilitation und Hilfsmittelversorgung (Quellen: BMASGK-Richtlinien, Kostenrahmen Bauträger/Handwerk AT 2024)."}</t>
  </si>
  <si>
    <t>["Alter 35 Jahre (lange Resterwerbsdauer bis zur Pension, ca. 30 Jahre)", "Monatliches Nettoeinkommen 5.500 EUR", "Beruf Dachdecker/Gerüstbauer (erhöhtes Unfallrisiko, körperlich anspruchsvolle Tätigkeit, bei Invalidität vollständiger Berufsausfall wahrscheinlich)", "Verheiratet mit drei Kindern (Unterhaltspflichten erhöhen den Absicherungsbedarf erheblich)", "Gesetzliche ASVG-Invaliditätspension als Grundleistung", "Private Unfallversicherung schließt Versorgungslücke ab 50 % Invaliditätsgrad"]</t>
  </si>
  <si>
    <t>Einmalige Kosten bei dauernder Invalidität eines körperlich arbeitenden Handwerkers umfassen typischerweise: (1) Wohnungsadaptierung (barrierefreier Umbau): ca. 50.000 EUR; (2) Anschaffung von Hilfsmitteln und Rehabilitationskosten (nicht durch gesetzliche KV gedeckter Anteil): ca. 30.000 EUR; (3) Umschulungskosten bzw. berufliche Rehabilitation (bei einem 35-jährigen Dachdecker mit langer Resterwerbsdauer besonders relevant): ca. 20.000 EUR; (4) Liquiditätspuffer für Übergangsphase bis Rentenleistungen greifen (3 Monate × 5.500 EUR Nettoeinkommen): ca. 16.500 EUR; (5) Zusätzlicher Puffer für familiäre Mehrbelastung (3 Kinder, Unterhaltspflichten): ca. 33.500 EUR. Summe: 50.000 + 30.000 + 20.000 + 16.500 + 33.500 = 150.000 EUR.</t>
  </si>
  <si>
    <t>Ausgangspunkt: Monatliches Nettoeinkommen 5.500 EUR. Referenzwert gesetzliche ASVG-Invaliditätspension: Bei einem 35-jährigen Dachdecker mit kurzer Beitragszeit ist die Bemessungsgrundlage niedrig; angenommene ASVG-Invaliditätspension (Annahme siehe unten): ca. 1.500 EUR netto/Monat. Versorgungslücke = 5.500 EUR − 1.500 EUR = 4.000 EUR. Da die private Unfallversicherung ab 50 % Invaliditätsgrad leistet und ein vollständiger Einkommensausfall bei einem körperlich arbeitenden Dachdecker bereits bei mittlerer Invalidität realistisch ist, wird die volle Versorgungslücke als Bemessungsgrundlage herangezogen. Abzug eines Selbstbehalts/Eigenanpassung (Haushalt, Lebenshaltung, ggf. Teilerwerbsfähigkeit): 20 % von 4.000 EUR = 800 EUR. Empfohlene Unfallrente: 4.000 EUR − 800 EUR = 3.200 EUR/Monat. Dieser Betrag berücksichtigt die Unterhaltspflichten gegenüber Ehefrau und drei Kindern, die eine vollständige Absicherung nahe der vollen Versorgungslücke rechtfertigen.</t>
  </si>
  <si>
    <t>1. ASVG-Invaliditätspension: Für einen 35-jährigen Dachdecker mit einer Beitragszeit von ca. 15–17 Jahren wird eine monatliche Nettopension von ca. 1.500 EUR angenommen. Dieser Wert basiert auf der ASVG-Bemessungslogik (Durchschnittseinkommen der Beitragsjahre, Steigerungsbetrag, Zurechnungszuschlag bis Regelpensionsalter), ist jedoch mangels konkreter Einkommensverlaufsdaten eine konservative Schätzung. 2. Pensionsantrittsalter: 65 Jahre (gesetzliches Regelpensionsalter). 3. Es wird angenommen, dass bei einem Dachdecker/Gerüstbauer eine dauerhafte Invalidität ab 50 % in der Regel zur vollständigen Berufsaufgabe führt, da die Tätigkeit eine uneingeschränkte körperliche Leistungsfähigkeit voraussetzt. 4. Allfällige weitere Einkommensquellen (z. B. Vermögen, Einkommen des Ehepartners) sind im Profil nicht angegeben und wurden nicht berücksichtigt. 5. Die Unfallrente ist als Bruttoempfehlung zu verstehen; steuerliche Behandlung der Rentenleistung wurde nicht eingerechnet."</t>
  </si>
  <si>
    <t>{"baustein_1_einmalzahlung_eur": 150000, "baustein_2_unfallrente_monatlich_eur": 3200, "beruecksichtigte_faktoren": ["Alter 35 Jahre (lange Resterwerbsdauer bis zur Pension, ca. 30 Jahre)", "Monatliches Nettoeinkommen 5.500 EUR", "Beruf Dachdecker/Gerüstbauer (erhöhtes Unfallrisiko, körperlich anspruchsvolle Tätigkeit, bei Invalidität vollständiger Berufsausfall wahrscheinlich)", "Verheiratet mit drei Kindern (Unterhaltspflichten erhöhen den Absicherungsbedarf erheblich)", "Gesetzliche ASVG-Invaliditätspension als Grundleistung", "Private Unfallversicherung schließt Versorgungslücke ab 50 % Invaliditätsgrad"], "berechnungslogik_baustein_1": "Einmalige Kosten bei dauernder Invalidität eines körperlich arbeitenden Handwerkers umfassen typischerweise: (1) Wohnungsadaptierung (barrierefreier Umbau): ca. 50.000 EUR; (2) Anschaffung von Hilfsmitteln und Rehabilitationskosten (nicht durch gesetzliche KV gedeckter Anteil): ca. 30.000 EUR; (3) Umschulungskosten bzw. berufliche Rehabilitation (bei einem 35-jährigen Dachdecker mit langer Resterwerbsdauer besonders relevant): ca. 20.000 EUR; (4) Liquiditätspuffer für Übergangsphase bis Rentenleistungen greifen (3 Monate × 5.500 EUR Nettoeinkommen): ca. 16.500 EUR; (5) Zusätzlicher Puffer für familiäre Mehrbelastung (3 Kinder, Unterhaltspflichten): ca. 33.500 EUR. Summe: 50.000 + 30.000 + 20.000 + 16.500 + 33.500 = 150.000 EUR.", "berechnungslogik_baustein_2": "Ausgangspunkt: Monatliches Nettoeinkommen 5.500 EUR. Referenzwert gesetzliche ASVG-Invaliditätspension: Bei einem 35-jährigen Dachdecker mit kurzer Beitragszeit ist die Bemessungsgrundlage niedrig; angenommene ASVG-Invaliditätspension (Annahme siehe unten): ca. 1.500 EUR netto/Monat. Versorgungslücke = 5.500 EUR − 1.500 EUR = 4.000 EUR. Da die private Unfallversicherung ab 50 % Invaliditätsgrad leistet und ein vollständiger Einkommensausfall bei einem körperlich arbeitenden Dachdecker bereits bei mittlerer Invalidität realistisch ist, wird die volle Versorgungslücke als Bemessungsgrundlage herangezogen. Abzug eines Selbstbehalts/Eigenanpassung (Haushalt, Lebenshaltung, ggf. Teilerwerbsfähigkeit): 20 % von 4.000 EUR = 800 EUR. Empfohlene Unfallrente: 4.000 EUR − 800 EUR = 3.200 EUR/Monat. Dieser Betrag berücksichtigt die Unterhaltspflichten gegenüber Ehefrau und drei Kindern, die eine vollständige Absicherung nahe der vollen Versorgungslücke rechtfertigen.", "getroffene_annahmen": "1. ASVG-Invaliditätspension: Für einen 35-jährigen Dachdecker mit einer Beitragszeit von ca. 15–17 Jahren wird eine monatliche Nettopension von ca. 1.500 EUR angenommen. Dieser Wert basiert auf der ASVG-Bemessungslogik (Durchschnittseinkommen der Beitragsjahre, Steigerungsbetrag, Zurechnungszuschlag bis Regelpensionsalter), ist jedoch mangels konkreter Einkommensverlaufsdaten eine konservative Schätzung. 2. Pensionsantrittsalter: 65 Jahre (gesetzliches Regelpensionsalter). 3. Es wird angenommen, dass bei einem Dachdecker/Gerüstbauer eine dauerhafte Invalidität ab 50 % in der Regel zur vollständigen Berufsaufgabe führt, da die Tätigkeit eine uneingeschränkte körperliche Leistungsfähigkeit voraussetzt. 4. Allfällige weitere Einkommensquellen (z. B. Vermögen, Einkommen des Ehepartners) sind im Profil nicht angegeben und wurden nicht berücksichtigt. 5. Die Unfallrente ist als Bruttoempfehlung zu verstehen; steuerliche Behandlung der Rentenleistung wurde nicht eingerechnet.\""}</t>
  </si>
  <si>
    <t>["Alter 35 Jahre (lange Resterwerbsdauer von ca. 30 Jahren bis Regelpensionsalter 65)", "Nettoeinkommen 5.500 €/Monat als Bemessungsgrundlage für Versorgungslücke", "Berufsrisiko Dachdecker/Gerüstbauer (erhöhtes Unfallrisiko, Absturz- und Schwerverletzungsgefahr, körperlich anspruchsvolle Tätigkeit mit hoher Invaliditätsrelevanz)", "Unterhaltspflichten gegenüber Ehegattin und 3 Kindern (hoher laufender Finanzbedarf der Familie)", "Gesetzliche ASVG-Invaliditätspension als Referenz-Grundleistung", "Einmalige Sonderkosten bei schwerer Invalidität (Wohnungsadaptierung, Hilfsmittel, Rehabilitation)"]</t>
  </si>
  <si>
    <t>Baustein 1 deckt einmalige, nicht wiederkehrende Kosten im Invaliditätsfall ab. Angesetzt werden vier Kostenpositionen: (1) Wohnungsadaptierung (barrierefreier Umbau, Rampen, Badumbau): 50.000 €; (2) Rehabilitationsmaßnahmen über gesetzliche Leistungen hinaus (stationäre Reha, Physiotherapie, Ergotherapie): 25.000 €; (3) Hilfsmittel und Mobilitätshilfen (Rollstuhl, Prothesen, Spezialausstattung): 25.000 €; (4) Umschulungskosten und Berufsreintegration (angesichts körperlich anspruchsvollen Berufs bei Teilinvalidität relevant): 20.000 €. Summe: 50.000 + 25.000 + 25.000 + 20.000 = 120.000 €. Das erhöhte Berufsrisiko als Dachdecker/Gerüstbauer rechtfertigt den Ansatz aller vier Positionen in voller Höhe, da Berufsunfälle in diesem Segment häufig zu schwerwiegenden, dauerhaften Beeinträchtigungen führen.</t>
  </si>
  <si>
    <t>Baustein 2 schließt die monatliche Versorgungslücke zwischen individuellem Bedarf und gesetzlicher Grundleistung. Schritt 1 – Individueller Monatsbedarf: Das Nettoeinkommen beträgt 5.500 €/Monat. Bei vollständiger Invalidität entfällt dieses Einkommen. Der Familienbedarf (Ehegatte + 3 Kinder) wird mit dem vollen Nettoeinkommen von 5.500 € gleichgesetzt, da keine weiteren Einkommensquellen im Profil angegeben sind. Schritt 2 – Gesetzliche ASVG-Invaliditätspension: Als Referenzwert wird die durchschnittliche ASVG-Invaliditätspension in Österreich von ca. 1.200 €/Monat netto angesetzt (Richtwert auf Basis der Pensionsversicherungsanstalt-Statistik; tatsächliche Höhe hängt von Versicherungszeiten ab, die im Profil nicht angegeben sind). Schritt 3 – Versorgungslücke: 5.500 € − 1.200 € = 4.300 €/Monat. Schritt 4 – Abschlag für mögliche Teilkompensation (z. B. Pflegegeld, Familienbeihilfe, Einkommen des Ehepartners): Da das Profil keine Angaben zu Einkommen des Ehepartners enthält und Unterhaltspflichten für 3 Kinder bestehen, wird ein moderater Abschlag von ca. 23 % (≈ 1.000 €) vorgenommen, um eine realistische, nicht übermäßige Absicherung zu empfehlen. Empfohlene monatliche Unfallrente: 4.300 € − 1.000 € = 3.300 €/Monat.</t>
  </si>
  <si>
    <t>1. Gesetzliche ASVG-Invaliditätspension: Als Referenzwert wurde ein Nettobetrag von 1.200 €/Monat herangezogen, basierend auf dem österreichischen Durchschnittswert laut PVA-Statistik. Die tatsächliche Pensionshöhe hängt von den individuellen Versicherungszeiten und Beitragsgrundlagen ab, die im Kundenprofil nicht angegeben wurden. 2. Regelpensionsalter: Es wurde das österreichische Regelpensionsalter von 65 Jahren angesetzt, woraus eine Resterwerbsdauer von 30 Jahren resultiert. 3. Einkommen des Ehepartners: Da keine Angaben vorliegen, wurde kein eigenes Einkommen des Ehepartners als Kompensation angesetzt; lediglich ein pauschaler Abschlag von 1.000 €/Monat wurde für mögliche staatliche Transferleistungen (Pflegegeld, Familienbeihilfe) berücksichtigt. 4. Invaliditätsgrad: Die Empfehlung orientiert sich am Szenario vollständiger oder hochgradiger dauernder Invalidität (≥ 50 %), da dies den versicherungsrelevanten Auslösetatbestand darstellt. 5. Einmalige Kostenpositionen (Baustein 1): Die angesetzten Beträge für Wohnungsadaptierung, Rehabilitation, Hilfsmittel und Umschulung basieren auf österreichischen Marktrichtwerten und stellen Pauschalen dar, da keine individuellen Angaben zu Wohnsituation oder Gesundheitszustand vorliegen.</t>
  </si>
  <si>
    <t>{"baustein_1_einmalzahlung_eur": 120000, "baustein_2_unfallrente_monatlich_eur": 3300, "beruecksichtigte_faktoren": ["Alter 35 Jahre (lange Resterwerbsdauer von ca. 30 Jahren bis Regelpensionsalter 65)", "Nettoeinkommen 5.500 €/Monat als Bemessungsgrundlage für Versorgungslücke", "Berufsrisiko Dachdecker/Gerüstbauer (erhöhtes Unfallrisiko, Absturz- und Schwerverletzungsgefahr, körperlich anspruchsvolle Tätigkeit mit hoher Invaliditätsrelevanz)", "Unterhaltspflichten gegenüber Ehegattin und 3 Kindern (hoher laufender Finanzbedarf der Familie)", "Gesetzliche ASVG-Invaliditätspension als Referenz-Grundleistung", "Einmalige Sonderkosten bei schwerer Invalidität (Wohnungsadaptierung, Hilfsmittel, Rehabilitation)"], "berechnungslogik_baustein_1": "Baustein 1 deckt einmalige, nicht wiederkehrende Kosten im Invaliditätsfall ab. Angesetzt werden vier Kostenpositionen: (1) Wohnungsadaptierung (barrierefreier Umbau, Rampen, Badumbau): 50.000 €; (2) Rehabilitationsmaßnahmen über gesetzliche Leistungen hinaus (stationäre Reha, Physiotherapie, Ergotherapie): 25.000 €; (3) Hilfsmittel und Mobilitätshilfen (Rollstuhl, Prothesen, Spezialausstattung): 25.000 €; (4) Umschulungskosten und Berufsreintegration (angesichts körperlich anspruchsvollen Berufs bei Teilinvalidität relevant): 20.000 €. Summe: 50.000 + 25.000 + 25.000 + 20.000 = 120.000 €. Das erhöhte Berufsrisiko als Dachdecker/Gerüstbauer rechtfertigt den Ansatz aller vier Positionen in voller Höhe, da Berufsunfälle in diesem Segment häufig zu schwerwiegenden, dauerhaften Beeinträchtigungen führen.", "berechnungslogik_baustein_2": "Baustein 2 schließt die monatliche Versorgungslücke zwischen individuellem Bedarf und gesetzlicher Grundleistung. Schritt 1 – Individueller Monatsbedarf: Das Nettoeinkommen beträgt 5.500 €/Monat. Bei vollständiger Invalidität entfällt dieses Einkommen. Der Familienbedarf (Ehegatte + 3 Kinder) wird mit dem vollen Nettoeinkommen von 5.500 € gleichgesetzt, da keine weiteren Einkommensquellen im Profil angegeben sind. Schritt 2 – Gesetzliche ASVG-Invaliditätspension: Als Referenzwert wird die durchschnittliche ASVG-Invaliditätspension in Österreich von ca. 1.200 €/Monat netto angesetzt (Richtwert auf Basis der Pensionsversicherungsanstalt-Statistik; tatsächliche Höhe hängt von Versicherungszeiten ab, die im Profil nicht angegeben sind). Schritt 3 – Versorgungslücke: 5.500 € − 1.200 € = 4.300 €/Monat. Schritt 4 – Abschlag für mögliche Teilkompensation (z. B. Pflegegeld, Familienbeihilfe, Einkommen des Ehepartners): Da das Profil keine Angaben zu Einkommen des Ehepartners enthält und Unterhaltspflichten für 3 Kinder bestehen, wird ein moderater Abschlag von ca. 23 % (≈ 1.000 €) vorgenommen, um eine realistische, nicht übermäßige Absicherung zu empfehlen. Empfohlene monatliche Unfallrente: 4.300 € − 1.000 € = 3.300 €/Monat.", "getroffene_annahmen": "1. Gesetzliche ASVG-Invaliditätspension: Als Referenzwert wurde ein Nettobetrag von 1.200 €/Monat herangezogen, basierend auf dem österreichischen Durchschnittswert laut PVA-Statistik. Die tatsächliche Pensionshöhe hängt von den individuellen Versicherungszeiten und Beitragsgrundlagen ab, die im Kundenprofil nicht angegeben wurden. 2. Regelpensionsalter: Es wurde das österreichische Regelpensionsalter von 65 Jahren angesetzt, woraus eine Resterwerbsdauer von 30 Jahren resultiert. 3. Einkommen des Ehepartners: Da keine Angaben vorliegen, wurde kein eigenes Einkommen des Ehepartners als Kompensation angesetzt; lediglich ein pauschaler Abschlag von 1.000 €/Monat wurde für mögliche staatliche Transferleistungen (Pflegegeld, Familienbeihilfe) berücksichtigt. 4. Invaliditätsgrad: Die Empfehlung orientiert sich am Szenario vollständiger oder hochgradiger dauernder Invalidität (≥ 50 %), da dies den versicherungsrelevanten Auslösetatbestand darstellt. 5. Einmalige Kostenpositionen (Baustein 1): Die angesetzten Beträge für Wohnungsadaptierung, Rehabilitation, Hilfsmittel und Umschulung basieren auf österreichischen Marktrichtwerten und stellen Pauschalen dar, da keine individuellen Angaben zu Wohnsituation oder Gesundheitszustand vorliegen."}</t>
  </si>
  <si>
    <t>gemini-3.1-pro-preview</t>
  </si>
  <si>
    <t>["Alter: 35 Jahre", "Nettoeinkommen: 1.800 EUR pro Monat", "Berufsrisiko: Bürotätigkeit", "Unterhaltspflichten: ledig, keine Kinder"]</t>
  </si>
  <si>
    <t>Die Einmalzahlung dient der Deckung von unfallbedingten Einmalkosten wie barrierefreien Umbauten oder Spezialhilfsmitteln. Als branchenübliche Faustregel für einen 35-jährigen Single ohne Unterhaltspflichten wird das 4-fache Jahresnettoeinkommen angesetzt. Das Jahresnettoeinkommen beträgt bei 14 Gehältern 25.200 EUR (1.800 EUR x 14). Das 4-fache entspricht 100.800 EUR. Dieser Wert wird auf eine glatte Versicherungssumme von 100.000 EUR gerundet. Ein Risikozuschlag für den Beruf entfällt aufgrund der Bürotätigkeit. Ein Aufschlag für Hinterbliebene entfällt, da der Kunde ledig und kinderlos ist.</t>
  </si>
  <si>
    <t>Die Unfallrente soll die monatliche Einkommenslücke bei dauernder Invalidität schließen. Das aktuelle Nettoeinkommen beträgt 1.800 EUR. Die gesetzliche Invaliditätspension (ASVG) wird bei einem 35-Jährigen aufgrund der bisher erworbenen Versicherungsmonate auf ca. 55 Prozent des Letztnettoeinkommens geschätzt, was rund 1.000 EUR entspricht. Die Differenz zur Erhaltung des Lebensstandards beträgt somit exakt 800 EUR (1.800 EUR minus 1.000 EUR).</t>
  </si>
  <si>
    <t>Es wird angenommen, dass das angegebene Nettoeinkommen 14-mal jährlich bezogen wird, was dem österreichischen Standard entspricht. Für die gesetzliche Invaliditätspension nach ASVG wird ein fiktiver Anspruch von 1.000 EUR netto pro Monat unterstellt. Es wird davon ausgegangen, dass keine weiteren privaten Vorsorgen bestehen und der Kunde seinen aktuellen Lebensstandard als Single ohne familiäre Verpflichtungen absichern möchte.</t>
  </si>
  <si>
    <t>{"baustein_1_einmalzahlung_eur":100000,"baustein_2_unfallrente_monatlich_eur":800,"beruecksichtigte_faktoren":["Alter: 35 Jahre","Nettoeinkommen: 1.800 EUR pro Monat","Berufsrisiko: Bürotätigkeit","Unterhaltspflichten: ledig, keine Kinder"],"berechnungslogik_baustein_1":"Die Einmalzahlung dient der Deckung von unfallbedingten Einmalkosten wie barrierefreien Umbauten oder Spezialhilfsmitteln. Als branchenübliche Faustregel für einen 35-jährigen Single ohne Unterhaltspflichten wird das 4-fache Jahresnettoeinkommen angesetzt. Das Jahresnettoeinkommen beträgt bei 14 Gehältern 25.200 EUR (1.800 EUR x 14). Das 4-fache entspricht 100.800 EUR. Dieser Wert wird auf eine glatte Versicherungssumme von 100.000 EUR gerundet. Ein Risikozuschlag für den Beruf entfällt aufgrund der Bürotätigkeit. Ein Aufschlag für Hinterbliebene entfällt, da der Kunde ledig und kinderlos ist.","berechnungslogik_baustein_2":"Die Unfallrente soll die monatliche Einkommenslücke bei dauernder Invalidität schließen. Das aktuelle Nettoeinkommen beträgt 1.800 EUR. Die gesetzliche Invaliditätspension (ASVG) wird bei einem 35-Jährigen aufgrund der bisher erworbenen Versicherungsmonate auf ca. 55 Prozent des Letztnettoeinkommens geschätzt, was rund 1.000 EUR entspricht. Die Differenz zur Erhaltung des Lebensstandards beträgt somit exakt 800 EUR (1.800 EUR minus 1.000 EUR).","getroffene_annahmen":"Es wird angenommen, dass das angegebene Nettoeinkommen 14-mal jährlich bezogen wird, was dem österreichischen Standard entspricht. Für die gesetzliche Invaliditätspension nach ASVG wird ein fiktiver Anspruch von 1.000 EUR netto pro Monat unterstellt. Es wird davon ausgegangen, dass keine weiteren privaten Vorsorgen bestehen und der Kunde seinen aktuellen Lebensstandard als Single ohne familiäre Verpflichtungen absichern möchte."}</t>
  </si>
  <si>
    <t>["Alter: 35 Jahre", "Monatliches Nettoeinkommen: 1.800 Euro", "Beruf: Buerotaetigkeit", "Familienstand: ledig, keine Kinder, keine Unterhaltspflichten"]</t>
  </si>
  <si>
    <t>Das oesterreichische Jahresnettoeinkommen betraegt bei 14 Bezuegen 25.200 Euro (1.800 Euro x 14). Fuer einmalige unfallbedingte Kosten wie Wohnungsadaptierung, Fahrzeugumbau oder spezielle Rehabilitationsmassnahmen wird das 4-fache Jahresnettoeinkommen als Basis herangezogen. Dies ergibt 100.800 Euro. Der Betrag wird auf eine marktuebliche glatte Versicherungssumme von 100.000 Euro abgerundet. Da keine Sorgepflichten bestehen, ist kein zusaetzlicher Puffer fuer Familienangehoerige notwendig.</t>
  </si>
  <si>
    <t>Ziel der Unfallrente ist die Schliessung der monatlichen Einkommensluecke bei dauernder Invaliditaet. Es wird angenommen, dass die gesetzliche Invaliditaetspension nach ASVG etwa 60 Prozent des bisherigen Nettoeinkommens abdeckt. Bei 1.800 Euro Nettoeinkommen entspricht dies einer gesetzlichen Leistung von ca. 1.080 Euro. Die verbleibende Versorgungsluecke betraegt somit 720 Euro (1.800 Euro minus 1.080 Euro). Um unfallbedingte monatliche Mehrkosten leicht abzufedern, wird die empfohlene Rente auf 750 Euro gerundet.</t>
  </si>
  <si>
    <t>Es wird angenommen, dass der Kunde 14 Monatsgehaelter bezieht (oesterreichischer Standard). Die gesetzliche Invaliditaetspension (ASVG) wird mit einem Deckungsgrad von 60 Prozent des aktuellen Nettoeinkommens kalkuliert. Es wird vorausgesetzt, dass keine aussergewoehnlichen finanziellen Belastungen wie hohe Kreditraten bestehen, da der Kunde ledig ist und keine Unterhaltspflichten hat.</t>
  </si>
  <si>
    <t>{"baustein_1_einmalzahlung_eur":100000,"baustein_2_unfallrente_monatlich_eur":750,"beruecksichtigte_faktoren":["Alter: 35 Jahre","Monatliches Nettoeinkommen: 1.800 Euro","Beruf: Buerotaetigkeit","Familienstand: ledig, keine Kinder, keine Unterhaltspflichten"],"berechnungslogik_baustein_1":"Das oesterreichische Jahresnettoeinkommen betraegt bei 14 Bezuegen 25.200 Euro (1.800 Euro x 14). Fuer einmalige unfallbedingte Kosten wie Wohnungsadaptierung, Fahrzeugumbau oder spezielle Rehabilitationsmassnahmen wird das 4-fache Jahresnettoeinkommen als Basis herangezogen. Dies ergibt 100.800 Euro. Der Betrag wird auf eine marktuebliche glatte Versicherungssumme von 100.000 Euro abgerundet. Da keine Sorgepflichten bestehen, ist kein zusaetzlicher Puffer fuer Familienangehoerige notwendig.","berechnungslogik_baustein_2":"Ziel der Unfallrente ist die Schliessung der monatlichen Einkommensluecke bei dauernder Invaliditaet. Es wird angenommen, dass die gesetzliche Invaliditaetspension nach ASVG etwa 60 Prozent des bisherigen Nettoeinkommens abdeckt. Bei 1.800 Euro Nettoeinkommen entspricht dies einer gesetzlichen Leistung von ca. 1.080 Euro. Die verbleibende Versorgungsluecke betraegt somit 720 Euro (1.800 Euro minus 1.080 Euro). Um unfallbedingte monatliche Mehrkosten leicht abzufedern, wird die empfohlene Rente auf 750 Euro gerundet.","getroffene_annahmen":"Es wird angenommen, dass der Kunde 14 Monatsgehaelter bezieht (oesterreichischer Standard). Die gesetzliche Invaliditaetspension (ASVG) wird mit einem Deckungsgrad von 60 Prozent des aktuellen Nettoeinkommens kalkuliert. Es wird vorausgesetzt, dass keine aussergewoehnlichen finanziellen Belastungen wie hohe Kreditraten bestehen, da der Kunde ledig ist und keine Unterhaltspflichten hat."}</t>
  </si>
  <si>
    <t>["Alter: 35 Jahre", "Nettoeinkommen: 1.800 EUR/Monat", "Berufsrisiko: Bürotätigkeit", "Unterhaltspflichten: ledig, keine Kinder"]</t>
  </si>
  <si>
    <t>Die Einmalzahlung dient der Deckung von unfallbedingten Einmalkosten wie Wohnungsumbau oder KFZ-Adaptierung. Als Faustregel für einen 35-jährigen Single ohne Unterhaltspflichten wird das 4-fache Jahresnettoeinkommen angesetzt. Berechnung: 1.800 EUR * 14 Monate = 25.200 EUR Jahresnettoeinkommen. 25.200 EUR * 4 = 100.800 EUR. Dieser Wert wird auf 100.000 EUR gerundet. Da keine Kinder abzusichern sind, ist kein zusätzlicher familiärer Vorsorgepuffer notwendig.</t>
  </si>
  <si>
    <t>Die Unfallrente soll die monatliche Einkommenslücke bei dauernder Invalidität schließen. Das aktuelle Nettoeinkommen beträgt 1.800 EUR. Es wird angenommen, dass die gesetzliche Invaliditätspension (ASVG) bei einem 35-Jährigen ca. 55 Prozent des letzten Nettoeinkommens ausmacht. Berechnung der ASVG-Pension: 1.800 EUR * 0,55 = 990 EUR. Die monatliche Versorgungslücke beträgt somit 1.800 EUR - 990 EUR = 810 EUR. Es wird eine monatliche Unfallrente von gerundet 800 EUR empfohlen.</t>
  </si>
  <si>
    <t>Es wird angenommen, dass das Jahresnettoeinkommen 14 Monatsgehälter umfasst, was dem österreichischen Standard entspricht. Für die gesetzliche Invaliditätspension nach ASVG wird ein Anspruch von 55 Prozent des aktuellen Nettoeinkommens angenommen, da der Kunde mit 35 Jahren noch nicht die vollen Beitragsjahre erreicht hat. Es wird vorausgesetzt, dass keine weiteren privaten Vorsorgeverträge bestehen, die diese Lücke bereits decken.</t>
  </si>
  <si>
    <t>{"baustein_1_einmalzahlung_eur":100000,"baustein_2_unfallrente_monatlich_eur":800,"beruecksichtigte_faktoren":["Alter: 35 Jahre","Nettoeinkommen: 1.800 EUR/Monat","Berufsrisiko: Bürotätigkeit","Unterhaltspflichten: ledig, keine Kinder"],"berechnungslogik_baustein_1":"Die Einmalzahlung dient der Deckung von unfallbedingten Einmalkosten wie Wohnungsumbau oder KFZ-Adaptierung. Als Faustregel für einen 35-jährigen Single ohne Unterhaltspflichten wird das 4-fache Jahresnettoeinkommen angesetzt. Berechnung: 1.800 EUR * 14 Monate = 25.200 EUR Jahresnettoeinkommen. 25.200 EUR * 4 = 100.800 EUR. Dieser Wert wird auf 100.000 EUR gerundet. Da keine Kinder abzusichern sind, ist kein zusätzlicher familiärer Vorsorgepuffer notwendig.","berechnungslogik_baustein_2":"Die Unfallrente soll die monatliche Einkommenslücke bei dauernder Invalidität schließen. Das aktuelle Nettoeinkommen beträgt 1.800 EUR. Es wird angenommen, dass die gesetzliche Invaliditätspension (ASVG) bei einem 35-Jährigen ca. 55 Prozent des letzten Nettoeinkommens ausmacht. Berechnung der ASVG-Pension: 1.800 EUR * 0,55 = 990 EUR. Die monatliche Versorgungslücke beträgt somit 1.800 EUR - 990 EUR = 810 EUR. Es wird eine monatliche Unfallrente von gerundet 800 EUR empfohlen.","getroffene_annahmen":"Es wird angenommen, dass das Jahresnettoeinkommen 14 Monatsgehälter umfasst, was dem österreichischen Standard entspricht. Für die gesetzliche Invaliditätspension nach ASVG wird ein Anspruch von 55 Prozent des aktuellen Nettoeinkommens angenommen, da der Kunde mit 35 Jahren noch nicht die vollen Beitragsjahre erreicht hat. Es wird vorausgesetzt, dass keine weiteren privaten Vorsorgeverträge bestehen, die diese Lücke bereits decken."}</t>
  </si>
  <si>
    <t>["Alter: 35 Jahre", "Nettoeinkommen: 1.800 EUR/Monat", "Berufsrisiko: Bürotätigkeit", "Unterhaltspflichten: verheiratet, 3 Kinder"]</t>
  </si>
  <si>
    <t>Die Einmalzahlung dient der Deckung von einmaligen Kosten im Invaliditätsfall wie Wohnungs- oder KFZ-Umbau. Als Basis wird das 5-fache Jahresnettoeinkommen berechnet: 1.800 EUR mal 14 Monate mal 5 ergibt 126.000 EUR. Aufgrund der Unterhaltspflichten für Ehepartner und 3 Kinder wird ein erhöhter Platz- und Adaptierungsbedarf angenommen, weshalb ein Familienzuschlag von 24.000 EUR addiert wird. Dies ergibt eine Summe von 150.000 EUR.</t>
  </si>
  <si>
    <t>Die monatliche Unfallrente dient dem Ausgleich des laufenden Einkommensverlustes. Bei einem Nettoeinkommen von 1.800 EUR und einem Alter von 35 Jahren wird eine gesetzliche ASVG-Invaliditätspension von rund 1.000 EUR (ca. 55 Prozent des Nettoeinkommens) angenommen. Die zu schließende Versorgungslücke beträgt somit exakt 800 EUR pro Monat (1.800 EUR minus 1.000 EUR).</t>
  </si>
  <si>
    <t>Es wird angenommen, dass das Gehalt nach österreichischem Standard 14-mal pro Jahr ausbezahlt wird. Die gesetzliche ASVG-Pension wird mit 1.000 EUR monatlich geschätzt, basierend auf durchschnittlichen Pensionskontowerten eines 35-jährigen Angestellten. Es wird vorausgesetzt, dass die volle Einkommenslücke des Kunden durch die Polizze gedeckt werden soll.</t>
  </si>
  <si>
    <t>{"baustein_1_einmalzahlung_eur":150000,"baustein_2_unfallrente_monatlich_eur":800,"beruecksichtigte_faktoren":["Alter: 35 Jahre","Nettoeinkommen: 1.800 EUR/Monat","Berufsrisiko: Bürotätigkeit","Unterhaltspflichten: verheiratet, 3 Kinder"],"berechnungslogik_baustein_1":"Die Einmalzahlung dient der Deckung von einmaligen Kosten im Invaliditätsfall wie Wohnungs- oder KFZ-Umbau. Als Basis wird das 5-fache Jahresnettoeinkommen berechnet: 1.800 EUR mal 14 Monate mal 5 ergibt 126.000 EUR. Aufgrund der Unterhaltspflichten für Ehepartner und 3 Kinder wird ein erhöhter Platz- und Adaptierungsbedarf angenommen, weshalb ein Familienzuschlag von 24.000 EUR addiert wird. Dies ergibt eine Summe von 150.000 EUR.","berechnungslogik_baustein_2":"Die monatliche Unfallrente dient dem Ausgleich des laufenden Einkommensverlustes. Bei einem Nettoeinkommen von 1.800 EUR und einem Alter von 35 Jahren wird eine gesetzliche ASVG-Invaliditätspension von rund 1.000 EUR (ca. 55 Prozent des Nettoeinkommens) angenommen. Die zu schließende Versorgungslücke beträgt somit exakt 800 EUR pro Monat (1.800 EUR minus 1.000 EUR).","getroffene_annahmen":"Es wird angenommen, dass das Gehalt nach österreichischem Standard 14-mal pro Jahr ausbezahlt wird. Die gesetzliche ASVG-Pension wird mit 1.000 EUR monatlich geschätzt, basierend auf durchschnittlichen Pensionskontowerten eines 35-jährigen Angestellten. Es wird vorausgesetzt, dass die volle Einkommenslücke des Kunden durch die Polizze gedeckt werden soll."}</t>
  </si>
  <si>
    <t>["Alter: 35 Jahre", "Monatliches Nettoeinkommen: 1.800 Euro", "Beruf: Bürotätigkeit", "Familienstand: verheiratet", "Kinder: 3 (Unterhaltspflichten)"]</t>
  </si>
  <si>
    <t>Das Jahresnettoeinkommen beträgt bei 14 Gehältern (österreichischer Standard) 25.200 Euro. Als Faustregel für die Einmalzahlung zur Deckung von Umbaukosten (Wohnung, KFZ) und Einmalaufwendungen wird das rund 6-fache Jahresnettoeinkommen angesetzt. 25.200 Euro multipliziert mit 6 ergibt 151.200 Euro. Aufgrund der Unterhaltspflichten für 3 Kinder und die Ehefrau wurde dieser Wert auf 150.000 Euro festgelegt, um ausreichend Kapital für familiengerechte Adaptierungen im Invaliditätsfall zur Verfügung zu haben.</t>
  </si>
  <si>
    <t>Ziel der Unfallrente ist die Schließung der monatlichen Versorgungslücke. Das aktuelle Nettoeinkommen beträgt 1.800 Euro. Es wird angenommen, dass die gesetzliche Invaliditätspension (ASVG) ca. 60 Prozent des letzten Nettoeinkommens abdeckt, was 1.080 Euro entspricht. Die rechnerische Lücke beträgt somit 720 Euro (1.800 Euro minus 1.080 Euro). Um einen Puffer für die bestehenden Unterhaltspflichten für 3 Kinder zu integrieren, wird die monatliche Unfallrente auf 800 Euro aufgerundet.</t>
  </si>
  <si>
    <t>Es wird angenommen, dass der Kunde 14 Monatsgehälter bezieht. Für die gesetzliche Invaliditätspension (ASVG) wird ein durchschnittlicher Leistungssatz von 60 Prozent des aktuellen Nettoeinkommens angenommen. Es wird vorausgesetzt, dass keine weiteren privaten Absicherungen bestehen, die diese Lücke bereits schließen.</t>
  </si>
  <si>
    <t>{"baustein_1_einmalzahlung_eur":150000,"baustein_2_unfallrente_monatlich_eur":800,"beruecksichtigte_faktoren":["Alter: 35 Jahre","Monatliches Nettoeinkommen: 1.800 Euro","Beruf: Bürotätigkeit","Familienstand: verheiratet","Kinder: 3 (Unterhaltspflichten)"],"berechnungslogik_baustein_1":"Das Jahresnettoeinkommen beträgt bei 14 Gehältern (österreichischer Standard) 25.200 Euro. Als Faustregel für die Einmalzahlung zur Deckung von Umbaukosten (Wohnung, KFZ) und Einmalaufwendungen wird das rund 6-fache Jahresnettoeinkommen angesetzt. 25.200 Euro multipliziert mit 6 ergibt 151.200 Euro. Aufgrund der Unterhaltspflichten für 3 Kinder und die Ehefrau wurde dieser Wert auf 150.000 Euro festgelegt, um ausreichend Kapital für familiengerechte Adaptierungen im Invaliditätsfall zur Verfügung zu haben.","berechnungslogik_baustein_2":"Ziel der Unfallrente ist die Schließung der monatlichen Versorgungslücke. Das aktuelle Nettoeinkommen beträgt 1.800 Euro. Es wird angenommen, dass die gesetzliche Invaliditätspension (ASVG) ca. 60 Prozent des letzten Nettoeinkommens abdeckt, was 1.080 Euro entspricht. Die rechnerische Lücke beträgt somit 720 Euro (1.800 Euro minus 1.080 Euro). Um einen Puffer für die bestehenden Unterhaltspflichten für 3 Kinder zu integrieren, wird die monatliche Unfallrente auf 800 Euro aufgerundet.","getroffene_annahmen":"Es wird angenommen, dass der Kunde 14 Monatsgehälter bezieht. Für die gesetzliche Invaliditätspension (ASVG) wird ein durchschnittlicher Leistungssatz von 60 Prozent des aktuellen Nettoeinkommens angenommen. Es wird vorausgesetzt, dass keine weiteren privaten Absicherungen bestehen, die diese Lücke bereits schließen."}</t>
  </si>
  <si>
    <t>["Alter: 35 Jahre", "Nettoeinkommen: 1.800 EUR pro Monat", "Berufsrisiko: Buerotaetigkeit", "Unterhaltspflichten: verheiratet, 3 Kinder"]</t>
  </si>
  <si>
    <t>Die Einmalzahlung dient der Deckung von unfallbedingten Einmalkosten wie barrierefreien Umbauten oder der Anschaffung von Hilfsmitteln. Die Berechnung erfolgt auf Basis des 6-fachen Jahresnettoeinkommens. Das Jahresnettoeinkommen betraegt 25.200 EUR (1.800 EUR mal 14 Monate). Das 6-Fache davon ergibt 151.200 EUR. Dieser Wert wird auf 150.000 EUR gerundet. Der Faktor 6 wird gewaehlt, da aufgrund des jungen Alters von 35 Jahren und der weitreichenden Unterhaltspflichten fuer Ehepartner und 3 Kinder ein erhoehtes Kapitalbeduerfnis zur Entlastung der Familie im Ernstfall besteht.</t>
  </si>
  <si>
    <t>Die monatliche Unfallrente dient dem Schliessen der Einkommensluecke zwischen dem bisherigen Einkommen und der gesetzlichen Leistung. Das fiktive monatliche Nettoeinkommen auf 12 Monate gerechnet betraegt 2.100 EUR (1.800 EUR mal 14 geteilt durch 12). Es wird angenommen, dass die gesetzliche Invaliditaetspension (ASVG) ca. 60 Prozent dieses Einkommens abdeckt, was 1.260 EUR entspricht. Die rechnerische Versorgungsluecke betraegt somit 840 EUR (2.100 EUR minus 1.260 EUR). Um einen zusaetzlichen Puffer fuer die laufenden Kosten der 3 Kinder zu schaffen, wird die empfohlene Rente auf 900 EUR aufgerundet.</t>
  </si>
  <si>
    <t>Erstens: Das angegebene Nettoeinkommen von 1.800 EUR wird 14-mal jaehrlich ausbezahlt, was dem oesterreichischen Standard entspricht. Zweitens: Die gesetzliche Invaliditaetspension nach ASVG deckt im Fall einer dauernden Erwerbsminderung etwa 60 Prozent des letzten Nettoeinkommens ab. Drittens: Es wird eine 12-malige Auszahlung der privaten Unfallrente pro Jahr angenommen. Viertens: Die Buerotaetigkeit impliziert ein geringes berufliches Unfallrisiko, weshalb der Fokus der Absicherung auf dem Freizeitbereich liegt, was jedoch die Hoehe des finanziellen Bedarfs im Invaliditaetsfall nicht mindert.</t>
  </si>
  <si>
    <t>{
  "baustein_1_einmalzahlung_eur": 150000,
  "baustein_2_unfallrente_monatlich_eur": 900,
  "beruecksichtigte_faktoren": [
    "Alter: 35 Jahre",
    "Nettoeinkommen: 1.800 EUR pro Monat",
    "Berufsrisiko: Buerotaetigkeit",
    "Unterhaltspflichten: verheiratet, 3 Kinder"
  ],
  "berechnungslogik_baustein_1": "Die Einmalzahlung dient der Deckung von unfallbedingten Einmalkosten wie barrierefreien Umbauten oder der Anschaffung von Hilfsmitteln. Die Berechnung erfolgt auf Basis des 6-fachen Jahresnettoeinkommens. Das Jahresnettoeinkommen betraegt 25.200 EUR (1.800 EUR mal 14 Monate). Das 6-Fache davon ergibt 151.200 EUR. Dieser Wert wird auf 150.000 EUR gerundet. Der Faktor 6 wird gewaehlt, da aufgrund des jungen Alters von 35 Jahren und der weitreichenden Unterhaltspflichten fuer Ehepartner und 3 Kinder ein erhoehtes Kapitalbeduerfnis zur Entlastung der Familie im Ernstfall besteht.",
  "berechnungslogik_baustein_2": "Die monatliche Unfallrente dient dem Schliessen der Einkommensluecke zwischen dem bisherigen Einkommen und der gesetzlichen Leistung. Das fiktive monatliche Nettoeinkommen auf 12 Monate gerechnet betraegt 2.100 EUR (1.800 EUR mal 14 geteilt durch 12). Es wird angenommen, dass die gesetzliche Invaliditaetspension (ASVG) ca. 60 Prozent dieses Einkommens abdeckt, was 1.260 EUR entspricht. Die rechnerische Versorgungsluecke betraegt somit 840 EUR (2.100 EUR minus 1.260 EUR). Um einen zusaetzlichen Puffer fuer die laufenden Kosten der 3 Kinder zu schaffen, wird die empfohlene Rente auf 900 EUR aufgerundet.",
  "getroffene_annahmen": "Erstens: Das angegebene Nettoeinkommen von 1.800 EUR wird 14-mal jaehrlich ausbezahlt, was dem oesterreichischen Standard entspricht. Zweitens: Die gesetzliche Invaliditaetspension nach ASVG deckt im Fall einer dauernden Erwerbsminderung etwa 60 Prozent des letzten Nettoeinkommens ab. Drittens: Es wird eine 12-malige Auszahlung der privaten Unfallrente pro Jahr angenommen. Viertens: Die Buerotaetigkeit impliziert ein geringes berufliches Unfallrisiko, weshalb der Fokus der Absicherung auf dem Freizeitbereich liegt, was jedoch die Hoehe des finanziellen Bedarfs im Invaliditaetsfall nicht mindert."
}</t>
  </si>
  <si>
    <t>["Alter: 35 Jahre", "Nettoeinkommen: 1.800 EUR/Monat", "Berufsrisiko: Handwerker", "Unterhaltspflichten: ledig, keine Kinder"]</t>
  </si>
  <si>
    <t>Das Jahresnettoeinkommen wird auf Basis von 14 Monatsgehaeltern mit 25.200 EUR berechnet. Um bei dauernder Invaliditaet einmalige Kosten wie Wohnungsadaptierungen oder Umschulungen zu decken, wird als Faustregel das 4-fache Jahresnettoeinkommen herangezogen. Dies ergibt 100.800 EUR. Der Betrag wird auf eine marktuebliche glatte Versicherungssumme von 100.000 EUR gerundet. Da der Kunde Handwerker ist, ist das Risiko eines berufsbedingten koerperlichen Ausfalls hoch, mangels Unterhaltspflichten ist jedoch kein zusaetzlicher Kapitalbedarf fuer die Absicherung von Angehoerigen noetig.</t>
  </si>
  <si>
    <t>Das monatliche Nettoeinkommen betraegt 1.800 EUR. Die gesetzliche Invaliditaetspension nach ASVG betraegt erfahrungsgemaess rund 55 Prozent des letzten Nettoeinkommens, was hier 990 EUR entspricht. Die monatliche Versorgungsluecke ergibt sich aus der Differenz: 1.800 EUR minus 990 EUR gleich 810 EUR. Zur Schliessung dieser Einkommensluecke wird eine monatliche Unfallrente von gerundet 800 EUR empfohlen.</t>
  </si>
  <si>
    <t>Es wird angenommen, dass das Einkommen 14-mal jaehrlich ausbezahlt wird. Fuer die ASVG-Invaliditaetspension wird eine Ersatzrate von 55 Prozent des Nettoeinkommens unterstellt. Es wird angenommen, dass keine weiteren privaten Absicherungen bestehen.</t>
  </si>
  <si>
    <t>{"baustein_1_einmalzahlung_eur":100000,"baustein_2_unfallrente_monatlich_eur":800,"beruecksichtigte_faktoren":["Alter: 35 Jahre","Nettoeinkommen: 1.800 EUR/Monat","Berufsrisiko: Handwerker","Unterhaltspflichten: ledig, keine Kinder"],"berechnungslogik_baustein_1":"Das Jahresnettoeinkommen wird auf Basis von 14 Monatsgehaeltern mit 25.200 EUR berechnet. Um bei dauernder Invaliditaet einmalige Kosten wie Wohnungsadaptierungen oder Umschulungen zu decken, wird als Faustregel das 4-fache Jahresnettoeinkommen herangezogen. Dies ergibt 100.800 EUR. Der Betrag wird auf eine marktuebliche glatte Versicherungssumme von 100.000 EUR gerundet. Da der Kunde Handwerker ist, ist das Risiko eines berufsbedingten koerperlichen Ausfalls hoch, mangels Unterhaltspflichten ist jedoch kein zusaetzlicher Kapitalbedarf fuer die Absicherung von Angehoerigen noetig.","berechnungslogik_baustein_2":"Das monatliche Nettoeinkommen betraegt 1.800 EUR. Die gesetzliche Invaliditaetspension nach ASVG betraegt erfahrungsgemaess rund 55 Prozent des letzten Nettoeinkommens, was hier 990 EUR entspricht. Die monatliche Versorgungsluecke ergibt sich aus der Differenz: 1.800 EUR minus 990 EUR gleich 810 EUR. Zur Schliessung dieser Einkommensluecke wird eine monatliche Unfallrente von gerundet 800 EUR empfohlen.","getroffene_annahmen":"Es wird angenommen, dass das Einkommen 14-mal jaehrlich ausbezahlt wird. Fuer die ASVG-Invaliditaetspension wird eine Ersatzrate von 55 Prozent des Nettoeinkommens unterstellt. Es wird angenommen, dass keine weiteren privaten Absicherungen bestehen."}</t>
  </si>
  <si>
    <t>["Alter: 35 Jahre", "Monatliches Nettoeinkommen: 1.800 Euro", "Beruf: Handwerker", "Familienstand: ledig, keine Kinder, keine Unterhaltspflichten"]</t>
  </si>
  <si>
    <t>Das oesterreichische Jahresnettoeinkommen betraegt bei 14 Bezuegen 25.200 Euro. Da der Kunde als Handwerker koerperlich taetig ist, ist das Risiko hoch, bei einer dauerhaften Invaliditaet den Beruf wechseln zu muessen oder teure Adaptierungen (Wohnung, KFZ) zu benoetigen. Als Faustregel wird das Vierfache des Jahresnettoeinkommens angesetzt. 25.200 Euro multipliziert mit 4 ergibt 100.800 Euro. Dieser Wert wird auf die uebliche glatte Versicherungssumme von 100.000 Euro gerundet.</t>
  </si>
  <si>
    <t>Die Unfallrente dient dem Ausgleich des laufenden Einkommensverlustes. Bei einem Nettoeinkommen von 1.800 Euro und einer angenommenen gesetzlichen ASVG-Invaliditaetspension von 60 Prozent des Letzteinkommens (1.080 Euro) entsteht eine monatliche Versorgungsluecke von 720 Euro. Um diese Luecke zu schliessen und einen kleinen Puffer fuer zusaetzliche unfallbedingte laufende Kosten zu schaffen, wird die Rente auf 750 Euro aufgerundet.</t>
  </si>
  <si>
    <t>Es wird angenommen, dass das Einkommen 14-mal pro Jahr ausbezahlt wird (oesterreichisches System). Die gesetzliche ASVG-Invaliditaetspension wird mit einem durchschnittlichen Ersatzanspruch von 60 Prozent des Nettoeinkommens angenommen. Es wird davon ausgegangen, dass keine weiteren privaten Versicherungen zur Deckung dieser Luecke bestehen.</t>
  </si>
  <si>
    <t>{"baustein_1_einmalzahlung_eur":100000,"baustein_2_unfallrente_monatlich_eur":750,"beruecksichtigte_faktoren":["Alter: 35 Jahre","Monatliches Nettoeinkommen: 1.800 Euro","Beruf: Handwerker","Familienstand: ledig, keine Kinder, keine Unterhaltspflichten"],"berechnungslogik_baustein_1":"Das oesterreichische Jahresnettoeinkommen betraegt bei 14 Bezuegen 25.200 Euro. Da der Kunde als Handwerker koerperlich taetig ist, ist das Risiko hoch, bei einer dauerhaften Invaliditaet den Beruf wechseln zu muessen oder teure Adaptierungen (Wohnung, KFZ) zu benoetigen. Als Faustregel wird das Vierfache des Jahresnettoeinkommens angesetzt. 25.200 Euro multipliziert mit 4 ergibt 100.800 Euro. Dieser Wert wird auf die uebliche glatte Versicherungssumme von 100.000 Euro gerundet.","berechnungslogik_baustein_2":"Die Unfallrente dient dem Ausgleich des laufenden Einkommensverlustes. Bei einem Nettoeinkommen von 1.800 Euro und einer angenommenen gesetzlichen ASVG-Invaliditaetspension von 60 Prozent des Letzteinkommens (1.080 Euro) entsteht eine monatliche Versorgungsluecke von 720 Euro. Um diese Luecke zu schliessen und einen kleinen Puffer fuer zusaetzliche unfallbedingte laufende Kosten zu schaffen, wird die Rente auf 750 Euro aufgerundet.","getroffene_annahmen":"Es wird angenommen, dass das Einkommen 14-mal pro Jahr ausbezahlt wird (oesterreichisches System). Die gesetzliche ASVG-Invaliditaetspension wird mit einem durchschnittlichen Ersatzanspruch von 60 Prozent des Nettoeinkommens angenommen. Es wird davon ausgegangen, dass keine weiteren privaten Versicherungen zur Deckung dieser Luecke bestehen."}</t>
  </si>
  <si>
    <t>["Alter: 35 Jahre", "Nettoeinkommen: 1.800 EUR pro Monat", "Berufsrisiko: Handwerker", "Unterhaltspflichten: ledig, keine Kinder"]</t>
  </si>
  <si>
    <t>Das oesterreichische Jahresnettoeinkommen betraegt bei 14 Gehaeltern 25.200 EUR. Fuer einen Handwerker ist das Risiko eines berufsbedingten Totalausfalls mit notwendigen Umschulungen und physischen Adaptionen (Wohnung, KFZ) hoch. Als Faustregel wird das 4-fache Jahresnettoeinkommen angesetzt, was 100.800 EUR ergibt. Dieser Wert wurde auf 100.000 EUR gerundet.</t>
  </si>
  <si>
    <t>Das kalkulatorische Monatsnetto inklusive Sonderzahlungen betraegt 2.100 EUR (1.800 EUR mal 14 dividiert durch 12). Es wird angenommen, dass die gesetzliche ASVG-Invaliditaetspension etwa 60 Prozent dieses Einkommens abdeckt, was 1.260 EUR entspricht. Die monatliche Versorgungsluecke betraegt somit 840 EUR. Da der Kunde ledig ist und keine Kinder hat, wurde die Rente auf 800 EUR abgerundet, was den existenziellen Lebensstandard ausreichend absichert.</t>
  </si>
  <si>
    <t>Es wird von 14 Monatsgehaeltern pro Jahr ausgegangen, was dem oesterreichischen Standard entspricht. Die gesetzliche ASVG-Invaliditaetspension wird mit einer Ersatzrate von 60 Prozent des durchschnittlichen Nettoeinkommens angenommen. Es wird davon ausgegangen, dass die Unfallrente 12 Mal pro Jahr ausbezahlt wird. Etwaige Progressionsstaffeln bei der Einmalzahlung wurden nicht in die Basis-Versicherungssumme eingerechnet.</t>
  </si>
  <si>
    <t>{"baustein_1_einmalzahlung_eur":100000,"baustein_2_unfallrente_monatlich_eur":800,"beruecksichtigte_faktoren":["Alter: 35 Jahre","Nettoeinkommen: 1.800 EUR pro Monat","Berufsrisiko: Handwerker","Unterhaltspflichten: ledig, keine Kinder"],"berechnungslogik_baustein_1":"Das oesterreichische Jahresnettoeinkommen betraegt bei 14 Gehaeltern 25.200 EUR. Fuer einen Handwerker ist das Risiko eines berufsbedingten Totalausfalls mit notwendigen Umschulungen und physischen Adaptionen (Wohnung, KFZ) hoch. Als Faustregel wird das 4-fache Jahresnettoeinkommen angesetzt, was 100.800 EUR ergibt. Dieser Wert wurde auf 100.000 EUR gerundet.","berechnungslogik_baustein_2":"Das kalkulatorische Monatsnetto inklusive Sonderzahlungen betraegt 2.100 EUR (1.800 EUR mal 14 dividiert durch 12). Es wird angenommen, dass die gesetzliche ASVG-Invaliditaetspension etwa 60 Prozent dieses Einkommens abdeckt, was 1.260 EUR entspricht. Die monatliche Versorgungsluecke betraegt somit 840 EUR. Da der Kunde ledig ist und keine Kinder hat, wurde die Rente auf 800 EUR abgerundet, was den existenziellen Lebensstandard ausreichend absichert.","getroffene_annahmen":"Es wird von 14 Monatsgehaeltern pro Jahr ausgegangen, was dem oesterreichischen Standard entspricht. Die gesetzliche ASVG-Invaliditaetspension wird mit einer Ersatzrate von 60 Prozent des durchschnittlichen Nettoeinkommens angenommen. Es wird davon ausgegangen, dass die Unfallrente 12 Mal pro Jahr ausbezahlt wird. Etwaige Progressionsstaffeln bei der Einmalzahlung wurden nicht in die Basis-Versicherungssumme eingerechnet."}</t>
  </si>
  <si>
    <t>["Alter: 35 Jahre", "Nettoeinkommen: 1.800 EUR/Monat", "Berufsrisiko: Handwerker", "Unterhaltspflichten: verheiratet, 3 Kinder"]</t>
  </si>
  <si>
    <t>Das Jahresnettoeinkommen beträgt bei 14 Gehältern 25.200 EUR. Als Basis wird das Fünffache des Jahresnettoeinkommens angesetzt (126.000 EUR), da als Handwerker eine hohe körperliche Abhängigkeit zur Berufsausübung besteht. Zuzüglich wird ein Puffer von 24.000 EUR für behindertengerechte Umbauten und den erhöhten Kapitalbedarf durch die große Familie (3 Kinder) einkalkuliert, was eine Summe von 150.000 EUR ergibt.</t>
  </si>
  <si>
    <t>Das durchschnittliche monatliche Nettoeinkommen (inklusive Sonderzahlungen) beträgt 2.100 EUR (1.800 EUR x 14 / 12). Die gesetzliche Invaliditätspension (ASVG) wird mit ca. 60 Prozent des Nettoeinkommens angenommen, was etwa 1.260 EUR pro Monat entspricht. Die Versorgungslücke beträgt somit 840 EUR. Um diese Lücke vollständig zu schließen und die Familie abzusichern, wird ein Betrag von 850 EUR empfohlen.</t>
  </si>
  <si>
    <t>Es wird angenommen, dass das Nettoeinkommen 14-mal pro Jahr ausbezahlt wird. Die gesetzliche ASVG-Invaliditätspension wird mit 60 Prozent des bisherigen Nettoeinkommens geschätzt. Es wird vorausgesetzt, dass die volle Einkommenslücke abgesichert werden muss, um den Lebensstandard der 5-köpfigen Familie zu halten.</t>
  </si>
  <si>
    <t>{"baustein_1_einmalzahlung_eur":150000,"baustein_2_unfallrente_monatlich_eur":850,"beruecksichtigte_faktoren":["Alter: 35 Jahre","Nettoeinkommen: 1.800 EUR/Monat","Berufsrisiko: Handwerker","Unterhaltspflichten: verheiratet, 3 Kinder"],"berechnungslogik_baustein_1":"Das Jahresnettoeinkommen beträgt bei 14 Gehältern 25.200 EUR. Als Basis wird das Fünffache des Jahresnettoeinkommens angesetzt (126.000 EUR), da als Handwerker eine hohe körperliche Abhängigkeit zur Berufsausübung besteht. Zuzüglich wird ein Puffer von 24.000 EUR für behindertengerechte Umbauten und den erhöhten Kapitalbedarf durch die große Familie (3 Kinder) einkalkuliert, was eine Summe von 150.000 EUR ergibt.","berechnungslogik_baustein_2":"Das durchschnittliche monatliche Nettoeinkommen (inklusive Sonderzahlungen) beträgt 2.100 EUR (1.800 EUR x 14 / 12). Die gesetzliche Invaliditätspension (ASVG) wird mit ca. 60 Prozent des Nettoeinkommens angenommen, was etwa 1.260 EUR pro Monat entspricht. Die Versorgungslücke beträgt somit 840 EUR. Um diese Lücke vollständig zu schließen und die Familie abzusichern, wird ein Betrag von 850 EUR empfohlen.","getroffene_annahmen":"Es wird angenommen, dass das Nettoeinkommen 14-mal pro Jahr ausbezahlt wird. Die gesetzliche ASVG-Invaliditätspension wird mit 60 Prozent des bisherigen Nettoeinkommens geschätzt. Es wird vorausgesetzt, dass die volle Einkommenslücke abgesichert werden muss, um den Lebensstandard der 5-köpfigen Familie zu halten."}</t>
  </si>
  <si>
    <t>["Alter: 35 Jahre", "Nettoeinkommen: 1.800 Euro monatlich", "Beruf: Handwerker", "Familienstand: Verheiratet", "Kinder: 3 (bestehende Unterhaltspflichten)"]</t>
  </si>
  <si>
    <t>Die Einmalzahlung dient der Deckung von Umbaukosten und Einmalaufwendungen im Falle einer dauernden Invaliditaet. Angesetzt wurden das 4-fache Jahresnettoeinkommen (1.800 Euro x 14 Monate x 4 = 100.800 Euro) als Basisabsicherung, ein Pauschalbetrag von 50.000 Euro fuer eventuelle Wohnungs- oder PKW-Adaptierungen (besonders relevant da als Handwerker koerperliche Einschraenkungen schwerwiegend sind) sowie ein Puffer von rund 16.400 Euro pro Kind (gesamt ca. 49.200 Euro) zur Absicherung der Unterhaltspflichten. Dies ergibt in Summe gerundet 200.000 Euro.</t>
  </si>
  <si>
    <t>Die Unfallrente schliesst die monatliche Einkommensluecke. Bei einem Nettoeinkommen von 1.800 Euro und einer angenommenen gesetzlichen Invaliditaetspension (ASVG) von 50 Prozent des Letztbezugs entsteht eine Grundluecke von 900 Euro. Aufgrund der Unterhaltspflichten fuer 3 Kinder wird ein zusaetzlicher monatlicher Bedarf von 100 Euro pro Kind (300 Euro) einkalkuliert, um den Lebensstandard der Familie zu halten. Die empfohlene monatliche Unfallrente betraegt somit 900 Euro plus 300 Euro, also gesamt 1.200 Euro.</t>
  </si>
  <si>
    <t>Es wird angenommen, dass das oesterreichische Jahresnettoeinkommen 14 Monatsgehaelter umfasst (1.800 Euro x 14 = 25.200 Euro). Fuer die gesetzliche Invaliditaetspension nach ASVG wird ein Referenzwert von 50 Prozent des aktuellen Nettoeinkommens angenommen, da der Kunde mit 35 Jahren voraussichtlich noch nicht die maximalen Versicherungsmonate erreicht hat. Es wird ausserdem angenommen, dass keine anderweitigen privaten Vorsorgen zur Deckung der Unterhaltspflichten bestehen.</t>
  </si>
  <si>
    <t>{"baustein_1_einmalzahlung_eur":200000,"baustein_2_unfallrente_monatlich_eur":1200,"beruecksichtigte_faktoren":["Alter: 35 Jahre","Nettoeinkommen: 1.800 Euro monatlich","Beruf: Handwerker","Familienstand: Verheiratet","Kinder: 3 (bestehende Unterhaltspflichten)"],"berechnungslogik_baustein_1":"Die Einmalzahlung dient der Deckung von Umbaukosten und Einmalaufwendungen im Falle einer dauernden Invaliditaet. Angesetzt wurden das 4-fache Jahresnettoeinkommen (1.800 Euro x 14 Monate x 4 = 100.800 Euro) als Basisabsicherung, ein Pauschalbetrag von 50.000 Euro fuer eventuelle Wohnungs- oder PKW-Adaptierungen (besonders relevant da als Handwerker koerperliche Einschraenkungen schwerwiegend sind) sowie ein Puffer von rund 16.400 Euro pro Kind (gesamt ca. 49.200 Euro) zur Absicherung der Unterhaltspflichten. Dies ergibt in Summe gerundet 200.000 Euro.","berechnungslogik_baustein_2":"Die Unfallrente schliesst die monatliche Einkommensluecke. Bei einem Nettoeinkommen von 1.800 Euro und einer angenommenen gesetzlichen Invaliditaetspension (ASVG) von 50 Prozent des Letztbezugs entsteht eine Grundluecke von 900 Euro. Aufgrund der Unterhaltspflichten fuer 3 Kinder wird ein zusaetzlicher monatlicher Bedarf von 100 Euro pro Kind (300 Euro) einkalkuliert, um den Lebensstandard der Familie zu halten. Die empfohlene monatliche Unfallrente betraegt somit 900 Euro plus 300 Euro, also gesamt 1.200 Euro.","getroffene_annahmen":"Es wird angenommen, dass das oesterreichische Jahresnettoeinkommen 14 Monatsgehaelter umfasst (1.800 Euro x 14 = 25.200 Euro). Fuer die gesetzliche Invaliditaetspension nach ASVG wird ein Referenzwert von 50 Prozent des aktuellen Nettoeinkommens angenommen, da der Kunde mit 35 Jahren voraussichtlich noch nicht die maximalen Versicherungsmonate erreicht hat. Es wird ausserdem angenommen, dass keine anderweitigen privaten Vorsorgen zur Deckung der Unterhaltspflichten bestehen."}</t>
  </si>
  <si>
    <t>Das oesterreichische Jahresnettoeinkommen betraegt bei 14 Bezuegen 25.200 EUR. Fuer einen 35-jaehrigen Handwerker mit 3 Kindern und Ehepartner wird das 6-fache Jahresnettoeinkommen angesetzt, um im Falle einer schweren Invaliditaet teure Umbaumassnahmen (z.B. rollstuhlgerechtes Wohnen fuer eine 5-koepfige Familie) und Umschulungen finanzieren zu koennen. 25.200 EUR multipliziert mit 6 ergibt 151.200 EUR, was auf den ueblichen Standardwert von 150.000 EUR gerundet wurde.</t>
  </si>
  <si>
    <t>Die monatliche Versorgungsluecke berechnet sich aus dem aktuellen Nettoeinkommen (1.800 EUR) abzueglich der erwarteten gesetzlichen Invaliditaetspension. Es wird angenommen, dass die ASVG-Pension ca. 55 Prozent des Nettoeinkommens betraegt (990 EUR). Die rechnerische Luecke betraegt somit 810 EUR. Um die Unterhaltspflichten fuer 3 Kinder und den Ehepartner abzusichern sowie kuenftige Einkommenssteigerungen und Inflation teilweise abzufedern, wurde der Betrag auf 1.000 EUR aufgerundet.</t>
  </si>
  <si>
    <t>Es wird angenommen, dass das Einkommen 14-mal pro Jahr ausbezahlt wird (oesterreichisches System). Die gesetzliche ASVG-Invaliditaetspension wird mit 55 Prozent des letzten Nettoeinkommens geschaetzt. Es wird angenommen, dass keine weiteren privaten Ruecklagen oder Kredite bestehen, da diese nicht im Profil genannt wurden.</t>
  </si>
  <si>
    <t>{"baustein_1_einmalzahlung_eur":150000,"baustein_2_unfallrente_monatlich_eur":1000,"beruecksichtigte_faktoren":["Alter: 35 Jahre","Nettoeinkommen: 1.800 EUR/Monat","Berufsrisiko: Handwerker","Unterhaltspflichten: verheiratet, 3 Kinder"],"berechnungslogik_baustein_1":"Das oesterreichische Jahresnettoeinkommen betraegt bei 14 Bezuegen 25.200 EUR. Fuer einen 35-jaehrigen Handwerker mit 3 Kindern und Ehepartner wird das 6-fache Jahresnettoeinkommen angesetzt, um im Falle einer schweren Invaliditaet teure Umbaumassnahmen (z.B. rollstuhlgerechtes Wohnen fuer eine 5-koepfige Familie) und Umschulungen finanzieren zu koennen. 25.200 EUR multipliziert mit 6 ergibt 151.200 EUR, was auf den ueblichen Standardwert von 150.000 EUR gerundet wurde.","berechnungslogik_baustein_2":"Die monatliche Versorgungsluecke berechnet sich aus dem aktuellen Nettoeinkommen (1.800 EUR) abzueglich der erwarteten gesetzlichen Invaliditaetspension. Es wird angenommen, dass die ASVG-Pension ca. 55 Prozent des Nettoeinkommens betraegt (990 EUR). Die rechnerische Luecke betraegt somit 810 EUR. Um die Unterhaltspflichten fuer 3 Kinder und den Ehepartner abzusichern sowie kuenftige Einkommenssteigerungen und Inflation teilweise abzufedern, wurde der Betrag auf 1.000 EUR aufgerundet.","getroffene_annahmen":"Es wird angenommen, dass das Einkommen 14-mal pro Jahr ausbezahlt wird (oesterreichisches System). Die gesetzliche ASVG-Invaliditaetspension wird mit 55 Prozent des letzten Nettoeinkommens geschaetzt. Es wird angenommen, dass keine weiteren privaten Ruecklagen oder Kredite bestehen, da diese nicht im Profil genannt wurden."}</t>
  </si>
  <si>
    <t>["Alter: 35 Jahre", "Nettoeinkommen: 1.800 EUR pro Monat", "Berufsrisiko: Dachdecker/Geruestbauer (sehr hohes Unfall- und Absturzrisiko)", "Unterhaltspflichten: ledig, keine Kinder (Fokus liegt rein auf der Eigenversorgung)"]</t>
  </si>
  <si>
    <t>Die Berechnung der Einmalzahlung orientiert sich an den potenziellen Kosten fuer Wohnungsadaptierungen, Pflegehilfsmittel und Rehabilitation. Als Basis dient das oesterreichische Jahresnettoeinkommen (1.800 EUR x 14 = 25.200 EUR). Fuer einen alleinstehenden Kunden ohne Unterhaltspflichten wird als Faustregel das 4- bis 5-fache Jahresnettoeinkommen angesetzt (5 x 25.200 EUR = 126.000 EUR). Aufgrund des extrem hohen Berufsrisikos als Dachdecker/Geruestbauer besteht eine erhoehte Gefahr fuer schwerste Verletzungen (z. B. Querschnittslaehmung durch Absturz), die besonders kostenintensive barrierefreie Umbauten erfordern. Daher wurde der errechnete Wert auf eine glatte und bedarfsgerechte Versicherungssumme von 150.000 EUR aufgerundet.</t>
  </si>
  <si>
    <t>Die monatliche Unfallrente dient dem Ausgleich des laufenden Einkommensverlustes. Das aktuelle Nettoeinkommen betraegt 1.800 EUR. Bei dauernder Erwerbsminderung leistet die gesetzliche Pensionsversicherung (ASVG) eine Invaliditaetspension. Fuer einen 35-jaehrigen Versicherten wird diese aufgrund der noch geringen Beitragsjahre mit einem Referenzwert von ca. 55 Prozent des letzten Nettoeinkommens kalkuliert. Dies ergibt eine gesetzliche Leistung von ca. 990 EUR (1.800 EUR x 0,55). Die rechnerische Versorgungsluecke betraegt somit 810 EUR (1.800 EUR - 990 EUR). Um zusaetzliche laufende unfallbedingte Mehraufwendungen (z. B. erhoehte Heizkosten, private Therapien, Haushaltshilfen) abzudecken, wird die Rente auf 900 EUR aufgerundet.</t>
  </si>
  <si>
    <t>Es wird angenommen, dass das angegebene Nettoeinkommen nach oesterreichischem Standard 14-mal jaehrlich ausbezahlt wird. Die gesetzliche ASVG-Invaliditaetspension wird mangels eines individuellen Pensionskontoauszugs mit einem branchenueblichen Referenzwert von 55 Prozent des aktuellen Nettoeinkommens geschaetzt. Es wird ferner vorausgesetzt, dass der Kunde ueber keine anderweitige private Einkommensabsicherung (wie z. B. eine Berufsunfaehigkeitsversicherung) verfuegt, welche die Versorgungsluecke bereits teilweise schliessen wuerde.</t>
  </si>
  <si>
    <t>{
  "baustein_1_einmalzahlung_eur": 150000,
  "baustein_2_unfallrente_monatlich_eur": 900,
  "beruecksichtigte_faktoren": [
    "Alter: 35 Jahre",
    "Nettoeinkommen: 1.800 EUR pro Monat",
    "Berufsrisiko: Dachdecker/Geruestbauer (sehr hohes Unfall- und Absturzrisiko)",
    "Unterhaltspflichten: ledig, keine Kinder (Fokus liegt rein auf der Eigenversorgung)"
  ],
  "berechnungslogik_baustein_1": "Die Berechnung der Einmalzahlung orientiert sich an den potenziellen Kosten fuer Wohnungsadaptierungen, Pflegehilfsmittel und Rehabilitation. Als Basis dient das oesterreichische Jahresnettoeinkommen (1.800 EUR x 14 = 25.200 EUR). Fuer einen alleinstehenden Kunden ohne Unterhaltspflichten wird als Faustregel das 4- bis 5-fache Jahresnettoeinkommen angesetzt (5 x 25.200 EUR = 126.000 EUR). Aufgrund des extrem hohen Berufsrisikos als Dachdecker/Geruestbauer besteht eine erhoehte Gefahr fuer schwerste Verletzungen (z. B. Querschnittslaehmung durch Absturz), die besonders kostenintensive barrierefreie Umbauten erfordern. Daher wurde der errechnete Wert auf eine glatte und bedarfsgerechte Versicherungssumme von 150.000 EUR aufgerundet.",
  "berechnungslogik_baustein_2": "Die monatliche Unfallrente dient dem Ausgleich des laufenden Einkommensverlustes. Das aktuelle Nettoeinkommen betraegt 1.800 EUR. Bei dauernder Erwerbsminderung leistet die gesetzliche Pensionsversicherung (ASVG) eine Invaliditaetspension. Fuer einen 35-jaehrigen Versicherten wird diese aufgrund der noch geringen Beitragsjahre mit einem Referenzwert von ca. 55 Prozent des letzten Nettoeinkommens kalkuliert. Dies ergibt eine gesetzliche Leistung von ca. 990 EUR (1.800 EUR x 0,55). Die rechnerische Versorgungsluecke betraegt somit 810 EUR (1.800 EUR - 990 EUR). Um zusaetzliche laufende unfallbedingte Mehraufwendungen (z. B. erhoehte Heizkosten, private Therapien, Haushaltshilfen) abzudecken, wird die Rente auf 900 EUR aufgerundet.",
  "getroffene_annahmen": "Es wird angenommen, dass das angegebene Nettoeinkommen nach oesterreichischem Standard 14-mal jaehrlich ausbezahlt wird. Die gesetzliche ASVG-Invaliditaetspension wird mangels eines individuellen Pensionskontoauszugs mit einem branchenueblichen Referenzwert von 55 Prozent des aktuellen Nettoeinkommens geschaetzt. Es wird ferner vorausgesetzt, dass der Kunde ueber keine anderweitige private Einkommensabsicherung (wie z. B. eine Berufsunfaehigkeitsversicherung) verfuegt, welche die Versorgungsluecke bereits teilweise schliessen wuerde."
}</t>
  </si>
  <si>
    <t>["Alter: 35 Jahre", "Monatliches Nettoeinkommen: 1.800 Euro", "Beruf: Dachdecker bzw. Geruestbauer (hohes koerperliches Risiko)", "Familienstand: Ledig, keine Kinder, keine Unterhaltspflichten"]</t>
  </si>
  <si>
    <t>Die Einmalzahlung dient der Deckung unfallbedingter Einmalkosten wie Wohnungs- oder PKW-Umbauten. Als Basis wird das 4-fache Jahresnettoeinkommen herangezogen. Bei 14 Monatsgehaeltern zu je 1.800 Euro ergibt das ein Jahresnetto von 25.200 Euro. Das 4-fache entspricht 100.800 Euro. Aufgrund des hohen koerperlichen Berufsrisikos als Dachdecker und Geruestbauer und der damit verbundenen Wahrscheinlichkeit teurer Adaptierungen bei Invaliditaet wird dieser Wert auf 100.000 Euro gerundet.</t>
  </si>
  <si>
    <t>Die Unfallrente soll die monatliche Einkommensluecke schliessen. Das aktuelle Nettoeinkommen betraegt 1.800 Euro. Die gesetzliche Invaliditaetspension (ASVG) wird mit etwa 60 Prozent des letzten Nettoeinkommens angenommen, was ca. 1.080 Euro entspricht. Die Versorgungsluecke betraegt somit 720 Euro. Um zusaetzliche unfallbedingte laufende Kosten abzudecken, wird die Rente auf 800 Euro aufgerundet.</t>
  </si>
  <si>
    <t>Es wird angenommen, dass der Kunde 14 Monatsgehaelter bezieht, was dem oesterreichischen Standard entspricht. Fuer die gesetzliche Invaliditaetspension (ASVG) wird ein Referenzwert von 60 Prozent des aktuellen Nettoeinkommens angenommen. Es wird davon ausgegangen, dass keine weiteren privaten Absicherungen bestehen.</t>
  </si>
  <si>
    <t>{"baustein_1_einmalzahlung_eur":100000,"baustein_2_unfallrente_monatlich_eur":800,"beruecksichtigte_faktoren":["Alter: 35 Jahre","Monatliches Nettoeinkommen: 1.800 Euro","Beruf: Dachdecker bzw. Geruestbauer (hohes koerperliches Risiko)","Familienstand: Ledig, keine Kinder, keine Unterhaltspflichten"],"berechnungslogik_baustein_1":"Die Einmalzahlung dient der Deckung unfallbedingter Einmalkosten wie Wohnungs- oder PKW-Umbauten. Als Basis wird das 4-fache Jahresnettoeinkommen herangezogen. Bei 14 Monatsgehaeltern zu je 1.800 Euro ergibt das ein Jahresnetto von 25.200 Euro. Das 4-fache entspricht 100.800 Euro. Aufgrund des hohen koerperlichen Berufsrisikos als Dachdecker und Geruestbauer und der damit verbundenen Wahrscheinlichkeit teurer Adaptierungen bei Invaliditaet wird dieser Wert auf 100.000 Euro gerundet.","berechnungslogik_baustein_2":"Die Unfallrente soll die monatliche Einkommensluecke schliessen. Das aktuelle Nettoeinkommen betraegt 1.800 Euro. Die gesetzliche Invaliditaetspension (ASVG) wird mit etwa 60 Prozent des letzten Nettoeinkommens angenommen, was ca. 1.080 Euro entspricht. Die Versorgungsluecke betraegt somit 720 Euro. Um zusaetzliche unfallbedingte laufende Kosten abzudecken, wird die Rente auf 800 Euro aufgerundet.","getroffene_annahmen":"Es wird angenommen, dass der Kunde 14 Monatsgehaelter bezieht, was dem oesterreichischen Standard entspricht. Fuer die gesetzliche Invaliditaetspension (ASVG) wird ein Referenzwert von 60 Prozent des aktuellen Nettoeinkommens angenommen. Es wird davon ausgegangen, dass keine weiteren privaten Absicherungen bestehen."}</t>
  </si>
  <si>
    <t>["Alter: 35 Jahre", "Nettoeinkommen: 1.800 EUR pro Monat", "Berufsrisiko: Dachdecker/Geruestbauer (sehr hohes koerperliches Risiko)", "Unterhaltspflichten: ledig, keine Kinder"]</t>
  </si>
  <si>
    <t>Das oesterreichische Jahresnettoeinkommen betraegt bei 14 Gehaeltern 25.200 EUR (1.800 EUR mal 14). Fuer einen alleinstehenden Handwerker mit hohem Berufsrisiko wird zur Deckung von Einmalkosten wie Wohnungsadaptierung, KFZ-Umbau und speziellen Reha-Massnahmen nach einem schweren Unfall das Vierfache des Jahresnettoeinkommens angesetzt. 25.200 EUR mal 4 ergibt 100.800 EUR. Dieser Wert wird auf die marktuebliche und glatte Versicherungssumme von 100.000 EUR gerundet.</t>
  </si>
  <si>
    <t>Die monatliche Unfallrente dient dem Schliessen der Einkommensluecke bei dauernder Invaliditaet. Das aktuelle Nettoeinkommen betraegt 1.800 EUR. Die gesetzliche ASVG-Invaliditaetspension deckt erfahrungsgemaess rund 55 Prozent des letzten Nettoeinkommens ab, was hier 990 EUR entspricht (1.800 EUR mal 0,55). Die rechnerische Versorgungsluecke betraegt somit 810 EUR (1.800 EUR minus 990 EUR). Da der Kunde ledig ist und keine Kinder hat, muessen keine zusaetzlichen Unterhaltskosten abgedeckt werden. Der Betrag wird daher auf eine praxisnahe monatliche Rente von 800 EUR gerundet.</t>
  </si>
  <si>
    <t>Es wird angenommen, dass das Gehalt nach oesterreichischem Standard 14-mal jaehrlich ausbezahlt wird. Fuer die gesetzliche ASVG-Invaliditaetspension wird ein durchschnittlicher Ersatzanspruch von 55 Prozent des letzten Nettoeinkommens angenommen. Zudem wird vorausgesetzt, dass der Kunde seinen bisherigen Lebensstandard als Alleinstehender vollstaendig erhalten moechte und keine signifikanten privaten Ruecklagen zur Deckung von unfallbedingten Einmalkosten vorhanden sind.</t>
  </si>
  <si>
    <t>{"baustein_1_einmalzahlung_eur":100000,"baustein_2_unfallrente_monatlich_eur":800,"beruecksichtigte_faktoren":["Alter: 35 Jahre","Nettoeinkommen: 1.800 EUR pro Monat","Berufsrisiko: Dachdecker/Geruestbauer (sehr hohes koerperliches Risiko)","Unterhaltspflichten: ledig, keine Kinder"],"berechnungslogik_baustein_1":"Das oesterreichische Jahresnettoeinkommen betraegt bei 14 Gehaeltern 25.200 EUR (1.800 EUR mal 14). Fuer einen alleinstehenden Handwerker mit hohem Berufsrisiko wird zur Deckung von Einmalkosten wie Wohnungsadaptierung, KFZ-Umbau und speziellen Reha-Massnahmen nach einem schweren Unfall das Vierfache des Jahresnettoeinkommens angesetzt. 25.200 EUR mal 4 ergibt 100.800 EUR. Dieser Wert wird auf die marktuebliche und glatte Versicherungssumme von 100.000 EUR gerundet.","berechnungslogik_baustein_2":"Die monatliche Unfallrente dient dem Schliessen der Einkommensluecke bei dauernder Invaliditaet. Das aktuelle Nettoeinkommen betraegt 1.800 EUR. Die gesetzliche ASVG-Invaliditaetspension deckt erfahrungsgemaess rund 55 Prozent des letzten Nettoeinkommens ab, was hier 990 EUR entspricht (1.800 EUR mal 0,55). Die rechnerische Versorgungsluecke betraegt somit 810 EUR (1.800 EUR minus 990 EUR). Da der Kunde ledig ist und keine Kinder hat, muessen keine zusaetzlichen Unterhaltskosten abgedeckt werden. Der Betrag wird daher auf eine praxisnahe monatliche Rente von 800 EUR gerundet.","getroffene_annahmen":"Es wird angenommen, dass das Gehalt nach oesterreichischem Standard 14-mal jaehrlich ausbezahlt wird. Fuer die gesetzliche ASVG-Invaliditaetspension wird ein durchschnittlicher Ersatzanspruch von 55 Prozent des letzten Nettoeinkommens angenommen. Zudem wird vorausgesetzt, dass der Kunde seinen bisherigen Lebensstandard als Alleinstehender vollstaendig erhalten moechte und keine signifikanten privaten Ruecklagen zur Deckung von unfallbedingten Einmalkosten vorhanden sind."}</t>
  </si>
  <si>
    <t>["Alter: 35 Jahre", "Nettoeinkommen: 1.800 EUR/Monat", "Berufsrisiko: Dachdecker/Gerüstbauer", "Unterhaltspflichten: verheiratet, 3 Kinder"]</t>
  </si>
  <si>
    <t>Das Jahresnettoeinkommen wird auf Basis von 14 Monatsgehältern mit 25.200 EUR berechnet. Als Grundbetrag wird das 5-fache Jahresnettoeinkommen angesetzt (126.000 EUR), was bei einem Alter von 35 Jahren eine solide Basis für langfristige Umstellungen bietet. Aufgrund des extrem hohen körperlichen Berufsrisikos als Dachdecker/Gerüstbauer und der Verantwortung für eine 5-köpfige Familie wird ein pauschaler Sicherheitszuschlag von 74.000 EUR für familiengerechte Wohnungsadaptierungen, ein behindertengerechtes Fahrzeug und spezielle Rehabilitationsmaßnahmen addiert. Dies ergibt in Summe exakt 200.000 EUR.</t>
  </si>
  <si>
    <t>Das aktuelle monatliche Nettoeinkommen beträgt 1.800 EUR. Bei einer dauernden Erwerbsminderung wird eine gesetzliche Invaliditätspension (ASVG) in Höhe von 55 Prozent des letzten Nettoeinkommens angenommen, was 990 EUR entspricht. Die direkte monatliche Versorgungslücke beträgt somit 810 EUR (1.800 EUR minus 990 EUR). Um zusätzliche laufende Kosten durch die Invalidität sowie den erhöhten finanziellen Bedarf für die 3 Kinder und den Ehepartner abzufedern, wird ein monatlicher Puffer von 190 EUR aufgeschlagen. Daraus resultiert die empfohlene monatliche Unfallrente von 1.000 EUR.</t>
  </si>
  <si>
    <t>Es wird angenommen, dass das Nettoeinkommen 14-mal pro Jahr bezogen wird, was dem österreichischen Standard entspricht. Für die gesetzliche Invaliditätspension nach ASVG wird ein Referenzwert von 55 Prozent des aktuellen Nettoeinkommens unterstellt. Zudem wird angenommen, dass der Ehepartner kein ausreichendes Ersatzeinkommen erzielt, um die Lücke für die Familie allein zu schließen, weshalb die volle Einkommenslücke plus ein Puffer für unfallbedingte Mehrkosten abgesichert wird.</t>
  </si>
  <si>
    <t>{"baustein_1_einmalzahlung_eur": 200000, "baustein_2_unfallrente_monatlich_eur": 1000, "beruecksichtigte_faktoren": ["Alter: 35 Jahre", "Nettoeinkommen: 1.800 EUR/Monat", "Berufsrisiko: Dachdecker/Gerüstbauer", "Unterhaltspflichten: verheiratet, 3 Kinder"], "berechnungslogik_baustein_1": "Das Jahresnettoeinkommen wird auf Basis von 14 Monatsgehältern mit 25.200 EUR berechnet. Als Grundbetrag wird das 5-fache Jahresnettoeinkommen angesetzt (126.000 EUR), was bei einem Alter von 35 Jahren eine solide Basis für langfristige Umstellungen bietet. Aufgrund des extrem hohen körperlichen Berufsrisikos als Dachdecker/Gerüstbauer und der Verantwortung für eine 5-köpfige Familie wird ein pauschaler Sicherheitszuschlag von 74.000 EUR für familiengerechte Wohnungsadaptierungen, ein behindertengerechtes Fahrzeug und spezielle Rehabilitationsmaßnahmen addiert. Dies ergibt in Summe exakt 200.000 EUR.", "berechnungslogik_baustein_2": "Das aktuelle monatliche Nettoeinkommen beträgt 1.800 EUR. Bei einer dauernden Erwerbsminderung wird eine gesetzliche Invaliditätspension (ASVG) in Höhe von 55 Prozent des letzten Nettoeinkommens angenommen, was 990 EUR entspricht. Die direkte monatliche Versorgungslücke beträgt somit 810 EUR (1.800 EUR minus 990 EUR). Um zusätzliche laufende Kosten durch die Invalidität sowie den erhöhten finanziellen Bedarf für die 3 Kinder und den Ehepartner abzufedern, wird ein monatlicher Puffer von 190 EUR aufgeschlagen. Daraus resultiert die empfohlene monatliche Unfallrente von 1.000 EUR.", "getroffene_annahmen": "Es wird angenommen, dass das Nettoeinkommen 14-mal pro Jahr bezogen wird, was dem österreichischen Standard entspricht. Für die gesetzliche Invaliditätspension nach ASVG wird ein Referenzwert von 55 Prozent des aktuellen Nettoeinkommens unterstellt. Zudem wird angenommen, dass der Ehepartner kein ausreichendes Ersatzeinkommen erzielt, um die Lücke für die Familie allein zu schließen, weshalb die volle Einkommenslücke plus ein Puffer für unfallbedingte Mehrkosten abgesichert wird."}</t>
  </si>
  <si>
    <t>["Alter von 35 Jahren", "Monatliches Nettoeinkommen von 1.800 Euro", "Beruf als Dachdecker bzw. Geruestbauer (sehr hohes koerperliches Risiko)", "Familienstand verheiratet mit 3 Kindern (hohe Unterhaltspflichten)"]</t>
  </si>
  <si>
    <t>Das Jahresnettoeinkommen betraegt 25.200 EUR (1.800 EUR multipliziert mit 14 Monatsgehaeltern). Fuer die Einmalzahlung wird bei koerperlich stark beanspruchenden Berufen und hohen familiaeren Verpflichtungen (3 Kinder) das 6-fache Jahresnettoeinkommen als Basis herangezogen, um teure Umbaumassnahmen (z.B. rollstuhlgerechtes Wohnen) und Umschulungen finanzieren zu koennen. 25.200 EUR mal 6 ergibt 151.200 EUR. Dieser Wert wurde auf eine praxisuebliche Versicherungssumme von 150.000 EUR gerundet.</t>
  </si>
  <si>
    <t>Das aktuelle monatliche Nettoeinkommen betraegt 1.800 EUR. Die gesetzliche Invaliditaetspension nach dem ASVG deckt erfahrungsgemaess etwa 55 Prozent des letzten Nettoeinkommens ab. Dies entspricht einer gesetzlichen Leistung von 990 EUR (1.800 EUR mal 0,55). Die monatliche Versorgungsluecke betraegt somit 810 EUR (1.800 EUR minus 990 EUR). Um die hohen laufenden Fixkosten fuer die fuenfkoepfige Familie sicher zu decken und einen kleinen Puffer fuer unfallbedingte Mehrausgaben zu schaffen, wurde die Rente auf 850 EUR aufgerundet.</t>
  </si>
  <si>
    <t>Es wird angenommen, dass das Gehalt in Oesterreich 14-mal jaehrlich ausbezahlt wird. Die gesetzliche ASVG-Invaliditaetspension wird mit einem Referenzwert von 55 Prozent des Nettoeinkommens kalkuliert. Zudem wird angenommen, dass der Kunde bei einer unfallbedingten Invaliditaet ab 50 Prozent seinen koerperlich anspruchsvollen Beruf als Dachdecker/Geruestbauer nicht mehr ausueben kann und somit der berechnete Einkommensverlust vollstaendig eintritt.</t>
  </si>
  <si>
    <t>{"baustein_1_einmalzahlung_eur":150000,"baustein_2_unfallrente_monatlich_eur":850,"beruecksichtigte_faktoren":["Alter von 35 Jahren","Monatliches Nettoeinkommen von 1.800 Euro","Beruf als Dachdecker bzw. Geruestbauer (sehr hohes koerperliches Risiko)","Familienstand verheiratet mit 3 Kindern (hohe Unterhaltspflichten)"],"berechnungslogik_baustein_1":"Das Jahresnettoeinkommen betraegt 25.200 EUR (1.800 EUR multipliziert mit 14 Monatsgehaeltern). Fuer die Einmalzahlung wird bei koerperlich stark beanspruchenden Berufen und hohen familiaeren Verpflichtungen (3 Kinder) das 6-fache Jahresnettoeinkommen als Basis herangezogen, um teure Umbaumassnahmen (z.B. rollstuhlgerechtes Wohnen) und Umschulungen finanzieren zu koennen. 25.200 EUR mal 6 ergibt 151.200 EUR. Dieser Wert wurde auf eine praxisuebliche Versicherungssumme von 150.000 EUR gerundet.","berechnungslogik_baustein_2":"Das aktuelle monatliche Nettoeinkommen betraegt 1.800 EUR. Die gesetzliche Invaliditaetspension nach dem ASVG deckt erfahrungsgemaess etwa 55 Prozent des letzten Nettoeinkommens ab. Dies entspricht einer gesetzlichen Leistung von 990 EUR (1.800 EUR mal 0,55). Die monatliche Versorgungsluecke betraegt somit 810 EUR (1.800 EUR minus 990 EUR). Um die hohen laufenden Fixkosten fuer die fuenfkoepfige Familie sicher zu decken und einen kleinen Puffer fuer unfallbedingte Mehrausgaben zu schaffen, wurde die Rente auf 850 EUR aufgerundet.","getroffene_annahmen":"Es wird angenommen, dass das Gehalt in Oesterreich 14-mal jaehrlich ausbezahlt wird. Die gesetzliche ASVG-Invaliditaetspension wird mit einem Referenzwert von 55 Prozent des Nettoeinkommens kalkuliert. Zudem wird angenommen, dass der Kunde bei einer unfallbedingten Invaliditaet ab 50 Prozent seinen koerperlich anspruchsvollen Beruf als Dachdecker/Geruestbauer nicht mehr ausueben kann und somit der berechnete Einkommensverlust vollstaendig eintritt."}</t>
  </si>
  <si>
    <t>["Alter: 35 Jahre", "Nettoeinkommen: 1.800 EUR pro Monat", "Berufsrisiko: Dachdecker/Geruestbauer (sehr hohes koerperliches Risiko)", "Unterhaltspflichten: verheiratet, 3 Kinder"]</t>
  </si>
  <si>
    <t>Das oesterreichische Jahresnettoeinkommen betraegt 25.200 EUR (1.800 EUR x 14 Monate). Fuer die Einmalzahlung wird ueblicherweise das 4- bis 6-fache Jahresnettoeinkommen herangezogen. Aufgrund des extrem hohen Berufsrisikos als Dachdecker/Geruestbauer ist bei einer dauernden Invaliditaet von schweren koerperlichen Einschaenkungen auszugehen, die teure Adaptierungen (z.B. barrierefreier Umbau des Wohnraums) erfordern. Zudem muessen Ehepartner und 3 Kinder abgesichert werden. Daher wird der Faktor 6 angewendet: 25.200 EUR x 6 = 151.200 EUR. Dieser Betrag wird auf die uebliche glatte Versicherungssumme von 150.000 EUR gerundet.</t>
  </si>
  <si>
    <t>Das durchschnittliche monatliche Nettoeinkommen inklusive Sonderzahlungen betraegt 2.100 EUR (25.200 EUR Jahresnetto dividiert durch 12). Die gesetzliche ASVG-Invaliditaetspension deckt erfahrungsgemaess etwa 55 Prozent des letzten Nettoeinkommens ab. Das entspricht einer gesetzlichen Leistung von ca. 1.155 EUR. Die monatliche Versorgungsluecke betraegt somit 945 EUR (2.100 EUR minus 1.155 EUR). Um den Lebensstandard der grossen Familie (3 Kinder) sicherzustellen und einen Puffer fuer inflationsbedingte Mehrkosten zu haben, wird die empfohlene Unfallrente auf 1.000 EUR aufgerundet.</t>
  </si>
  <si>
    <t>Es wird angenommen, dass der Kunde 14 Monatsgehaelter bezieht (oesterreichischer Standard). Die gesetzliche ASVG-Invaliditaetspension wird mit einem Referenzwert von 55 Prozent des Nettoeinkommens kalkuliert. Es wird im Sinne einer sicheren Bedarfsermittlung angenommen, dass der Ehepartner kein eigenes Einkommen hat, welches die Familie im Notfall allein erhalten koennte, weshalb die Einkommensluecke des Kunden vollstaendig durch die Unfallrente geschlossen werden muss.</t>
  </si>
  <si>
    <t>{"baustein_1_einmalzahlung_eur":150000,"baustein_2_unfallrente_monatlich_eur":1000,"beruecksichtigte_faktoren":["Alter: 35 Jahre","Nettoeinkommen: 1.800 EUR pro Monat","Berufsrisiko: Dachdecker/Geruestbauer (sehr hohes koerperliches Risiko)","Unterhaltspflichten: verheiratet, 3 Kinder"],"berechnungslogik_baustein_1":"Das oesterreichische Jahresnettoeinkommen betraegt 25.200 EUR (1.800 EUR x 14 Monate). Fuer die Einmalzahlung wird ueblicherweise das 4- bis 6-fache Jahresnettoeinkommen herangezogen. Aufgrund des extrem hohen Berufsrisikos als Dachdecker/Geruestbauer ist bei einer dauernden Invaliditaet von schweren koerperlichen Einschaenkungen auszugehen, die teure Adaptierungen (z.B. barrierefreier Umbau des Wohnraums) erfordern. Zudem muessen Ehepartner und 3 Kinder abgesichert werden. Daher wird der Faktor 6 angewendet: 25.200 EUR x 6 = 151.200 EUR. Dieser Betrag wird auf die uebliche glatte Versicherungssumme von 150.000 EUR gerundet.","berechnungslogik_baustein_2":"Das durchschnittliche monatliche Nettoeinkommen inklusive Sonderzahlungen betraegt 2.100 EUR (25.200 EUR Jahresnetto dividiert durch 12). Die gesetzliche ASVG-Invaliditaetspension deckt erfahrungsgemaess etwa 55 Prozent des letzten Nettoeinkommens ab. Das entspricht einer gesetzlichen Leistung von ca. 1.155 EUR. Die monatliche Versorgungsluecke betraegt somit 945 EUR (2.100 EUR minus 1.155 EUR). Um den Lebensstandard der grossen Familie (3 Kinder) sicherzustellen und einen Puffer fuer inflationsbedingte Mehrkosten zu haben, wird die empfohlene Unfallrente auf 1.000 EUR aufgerundet.","getroffene_annahmen":"Es wird angenommen, dass der Kunde 14 Monatsgehaelter bezieht (oesterreichischer Standard). Die gesetzliche ASVG-Invaliditaetspension wird mit einem Referenzwert von 55 Prozent des Nettoeinkommens kalkuliert. Es wird im Sinne einer sicheren Bedarfsermittlung angenommen, dass der Ehepartner kein eigenes Einkommen hat, welches die Familie im Notfall allein erhalten koennte, weshalb die Einkommensluecke des Kunden vollstaendig durch die Unfallrente geschlossen werden muss."}</t>
  </si>
  <si>
    <t>["Alter: 35 Jahre", "Nettoeinkommen: 3.000 EUR pro Monat", "Berufsrisiko: Bürotätigkeit", "Unterhaltspflichten: ledig, keine Kinder"]</t>
  </si>
  <si>
    <t>Das Jahresnettoeinkommen wird nach österreichischem Standard mit 14 Monatsgehältern berechnet (3.000 EUR * 14 = 42.000 EUR). Um unfallbedingte Einmalkosten wie den barrierefreien Umbau der Wohnung, die Anschaffung eines behindertengerechten KFZ sowie spezielle Rehabilitationsmaßnahmen zu decken, wird für einen 35-jährigen Kunden das 4-fache Jahresnettoeinkommen als Basis-Versicherungssumme angesetzt. Der Rechenweg lautet: 42.000 EUR * 4 = 168.000 EUR.</t>
  </si>
  <si>
    <t>Die Unfallrente soll die monatliche Einkommenslücke bei dauernder Invalidität schließen. Bei einem Nettoeinkommen von 3.000 EUR und einer angenommenen gesetzlichen Invaliditätspension (ASVG) von 55 Prozent des Nettoeinkommens beträgt die gesetzliche Leistung 1.650 EUR. Die monatliche Versorgungslücke ergibt sich aus 3.000 EUR minus 1.650 EUR = 1.350 EUR. Da der Kunde ledig ist und keine Kinder hat, reicht die exakte Deckung dieser Differenz aus, um den individuellen Lebensstandard vollständig zu erhalten.</t>
  </si>
  <si>
    <t>1. Das Jahresnettoeinkommen basiert auf 14 Monatsbezügen. 2. Die gesetzliche Invaliditätspension nach ASVG wird mit einem durchschnittlichen Ersatzfaktor von 55 Prozent des letzten Nettoeinkommens angenommen. 3. Der Kapitalbedarf für Einmalkosten im Invaliditätsfall wird pauschal mit dem 4-fachen Jahresnettoeinkommen bewertet. 4. Es wird angenommen, dass der Kunde seinen aktuellen Lebensstandard zu 100 Prozent absichern möchte.</t>
  </si>
  <si>
    <t>{"baustein_1_einmalzahlung_eur":168000,"baustein_2_unfallrente_monatlich_eur":1350,"beruecksichtigte_faktoren":["Alter: 35 Jahre","Nettoeinkommen: 3.000 EUR pro Monat","Berufsrisiko: Bürotätigkeit","Unterhaltspflichten: ledig, keine Kinder"],"berechnungslogik_baustein_1":"Das Jahresnettoeinkommen wird nach österreichischem Standard mit 14 Monatsgehältern berechnet (3.000 EUR * 14 = 42.000 EUR). Um unfallbedingte Einmalkosten wie den barrierefreien Umbau der Wohnung, die Anschaffung eines behindertengerechten KFZ sowie spezielle Rehabilitationsmaßnahmen zu decken, wird für einen 35-jährigen Kunden das 4-fache Jahresnettoeinkommen als Basis-Versicherungssumme angesetzt. Der Rechenweg lautet: 42.000 EUR * 4 = 168.000 EUR.","berechnungslogik_baustein_2":"Die Unfallrente soll die monatliche Einkommenslücke bei dauernder Invalidität schließen. Bei einem Nettoeinkommen von 3.000 EUR und einer angenommenen gesetzlichen Invaliditätspension (ASVG) von 55 Prozent des Nettoeinkommens beträgt die gesetzliche Leistung 1.650 EUR. Die monatliche Versorgungslücke ergibt sich aus 3.000 EUR minus 1.650 EUR = 1.350 EUR. Da der Kunde ledig ist und keine Kinder hat, reicht die exakte Deckung dieser Differenz aus, um den individuellen Lebensstandard vollständig zu erhalten.","getroffene_annahmen":"1. Das Jahresnettoeinkommen basiert auf 14 Monatsbezügen. 2. Die gesetzliche Invaliditätspension nach ASVG wird mit einem durchschnittlichen Ersatzfaktor von 55 Prozent des letzten Nettoeinkommens angenommen. 3. Der Kapitalbedarf für Einmalkosten im Invaliditätsfall wird pauschal mit dem 4-fachen Jahresnettoeinkommen bewertet. 4. Es wird angenommen, dass der Kunde seinen aktuellen Lebensstandard zu 100 Prozent absichern möchte."}</t>
  </si>
  <si>
    <t>["Alter: 35 Jahre", "Monatliches Nettoeinkommen: 3.000 Euro", "Beruf: Buerotaetigkeit", "Familienstand: Ledig, keine Kinder, keine Unterhaltspflichten"]</t>
  </si>
  <si>
    <t>Das Jahresnettoeinkommen wird mit 14 Monatsgehaeltern in Oesterreich angenommen (3.000 Euro x 14 = 42.000 Euro). Fuer einen 35-jaehrigen Single ohne Betreuungspflichten wird als Einmalzahlung das Vierfache des Jahresnettoeinkommens angesetzt, um im Falle einer schweren Invaliditaet Umbaumassnahmen (Wohnung, KFZ) und Rehabilitationskosten decken zu koennen. Rechnung: 42.000 Euro x 4 = 168.000 Euro.</t>
  </si>
  <si>
    <t>Ziel ist die Schliessung der monatlichen Einkommensluecke bei dauerhafter Erwerbsunfaehigkeit. Das aktuelle Nettoeinkommen betraegt 3.000 Euro. Die gesetzliche Invaliditaetspension (ASVG) wird schaetzungsweise mit 60 Prozent des letzten Nettoeinkommens angenommen, was 1.800 Euro entspricht. Die zu schliessende Versorgungsluecke und somit die empfohlene monatliche Unfallrente betraegt daher 3.000 Euro minus 1.800 Euro = 1.200 Euro.</t>
  </si>
  <si>
    <t>Es wird angenommen, dass der Kunde 14 Monatsgehaelter pro Jahr bezieht, was dem oesterreichischen Standard entspricht. Fuer die gesetzliche Invaliditaetspension nach ASVG wird ein durchschnittlicher Ersatzanspruch von 60 Prozent des aktuellen Nettoeinkommens unterstellt. Es wird davon ausgegangen, dass keine weiteren privaten Vorsorgeprodukte zur Einkommenssicherung bestehen.</t>
  </si>
  <si>
    <t>{"baustein_1_einmalzahlung_eur": 168000, "baustein_2_unfallrente_monatlich_eur": 1200, "beruecksichtigte_faktoren": ["Alter: 35 Jahre", "Monatliches Nettoeinkommen: 3.000 Euro", "Beruf: Buerotaetigkeit", "Familienstand: Ledig, keine Kinder, keine Unterhaltspflichten"], "berechnungslogik_baustein_1": "Das Jahresnettoeinkommen wird mit 14 Monatsgehaeltern in Oesterreich angenommen (3.000 Euro x 14 = 42.000 Euro). Fuer einen 35-jaehrigen Single ohne Betreuungspflichten wird als Einmalzahlung das Vierfache des Jahresnettoeinkommens angesetzt, um im Falle einer schweren Invaliditaet Umbaumassnahmen (Wohnung, KFZ) und Rehabilitationskosten decken zu koennen. Rechnung: 42.000 Euro x 4 = 168.000 Euro.", "berechnungslogik_baustein_2": "Ziel ist die Schliessung der monatlichen Einkommensluecke bei dauerhafter Erwerbsunfaehigkeit. Das aktuelle Nettoeinkommen betraegt 3.000 Euro. Die gesetzliche Invaliditaetspension (ASVG) wird schaetzungsweise mit 60 Prozent des letzten Nettoeinkommens angenommen, was 1.800 Euro entspricht. Die zu schliessende Versorgungsluecke und somit die empfohlene monatliche Unfallrente betraegt daher 3.000 Euro minus 1.800 Euro = 1.200 Euro.", "getroffene_annahmen": "Es wird angenommen, dass der Kunde 14 Monatsgehaelter pro Jahr bezieht, was dem oesterreichischen Standard entspricht. Fuer die gesetzliche Invaliditaetspension nach ASVG wird ein durchschnittlicher Ersatzanspruch von 60 Prozent des aktuellen Nettoeinkommens unterstellt. Es wird davon ausgegangen, dass keine weiteren privaten Vorsorgeprodukte zur Einkommenssicherung bestehen."}</t>
  </si>
  <si>
    <t>["Alter: 35 Jahre", "Nettoeinkommen: 3.000 EUR/Monat", "Berufsrisiko: Bürotätigkeit", "Unterhaltspflichten: ledig, keine Kinder"]</t>
  </si>
  <si>
    <t>Da der Kunde ledig ist und keine Kinder hat, dient die Einmalzahlung rein der Deckung von unfallbedingten Einmalkosten wie dem barrierefreien Umbau der Wohnung, der Anschaffung eines behindertengerechten KFZ oder speziellen Rehabilitationsmaßnahmen. Ein Hinterbliebenenschutz zur Absicherung einer Familie entfällt. Für diese wohnlichen und mobilen Adaptierungen wird ein branchenüblicher Pauschalwert von 150000 EUR als ausreichend erachtet.</t>
  </si>
  <si>
    <t>Das aktuelle Nettoeinkommen beträgt 3000 EUR monatlich. Bei einer dauernden Erwerbsminderung wird eine gesetzliche Invaliditätspension aus dem ASVG fällig. Als branchenüblicher Richtwert wird angenommen, dass diese ca. 60 Prozent des letzten Nettoeinkommens abdeckt. Die gesetzliche Leistung beträgt somit fiktiv 1800 EUR (3000 EUR mal 0,60). Um den bisherigen Lebensstandard des Kunden vollständig zu erhalten, muss die private Unfallrente die exakte Versorgungslücke von 1200 EUR (3000 EUR minus 1800 EUR) schließen.</t>
  </si>
  <si>
    <t>Es wird angenommen, dass die gesetzliche Invaliditätspension (ASVG) 60 Prozent des aktuellen Nettoeinkommens beträgt. Weiterhin wird angenommen, dass keine bestehenden Kredite oder anderweitigen privaten Absicherungen vorhanden sind. Die Einmalzahlung wird als reine Auszahlungssumme für den 100-Prozent-Invaliditätsfall betrachtet. Das geringe Berufsrisiko (Bürotätigkeit) beeinflusst die Prämienhöhe, ändert jedoch nichts am individuellen finanziellen Bedarf im Schadensfall.</t>
  </si>
  <si>
    <t>{"baustein_1_einmalzahlung_eur":150000,"baustein_2_unfallrente_monatlich_eur":1200,"beruecksichtigte_faktoren":["Alter: 35 Jahre","Nettoeinkommen: 3.000 EUR/Monat","Berufsrisiko: Bürotätigkeit","Unterhaltspflichten: ledig, keine Kinder"],"berechnungslogik_baustein_1":"Da der Kunde ledig ist und keine Kinder hat, dient die Einmalzahlung rein der Deckung von unfallbedingten Einmalkosten wie dem barrierefreien Umbau der Wohnung, der Anschaffung eines behindertengerechten KFZ oder speziellen Rehabilitationsmaßnahmen. Ein Hinterbliebenenschutz zur Absicherung einer Familie entfällt. Für diese wohnlichen und mobilen Adaptierungen wird ein branchenüblicher Pauschalwert von 150000 EUR als ausreichend erachtet.","berechnungslogik_baustein_2":"Das aktuelle Nettoeinkommen beträgt 3000 EUR monatlich. Bei einer dauernden Erwerbsminderung wird eine gesetzliche Invaliditätspension aus dem ASVG fällig. Als branchenüblicher Richtwert wird angenommen, dass diese ca. 60 Prozent des letzten Nettoeinkommens abdeckt. Die gesetzliche Leistung beträgt somit fiktiv 1800 EUR (3000 EUR mal 0,60). Um den bisherigen Lebensstandard des Kunden vollständig zu erhalten, muss die private Unfallrente die exakte Versorgungslücke von 1200 EUR (3000 EUR minus 1800 EUR) schließen.","getroffene_annahmen":"Es wird angenommen, dass die gesetzliche Invaliditätspension (ASVG) 60 Prozent des aktuellen Nettoeinkommens beträgt. Weiterhin wird angenommen, dass keine bestehenden Kredite oder anderweitigen privaten Absicherungen vorhanden sind. Die Einmalzahlung wird als reine Auszahlungssumme für den 100-Prozent-Invaliditätsfall betrachtet. Das geringe Berufsrisiko (Bürotätigkeit) beeinflusst die Prämienhöhe, ändert jedoch nichts am individuellen finanziellen Bedarf im Schadensfall."}</t>
  </si>
  <si>
    <t>["Alter 35 Jahre", "Nettoeinkommen 3000 EUR pro Monat", "Berufsrisiko Bürotätigkeit", "Unterhaltspflichten verheiratet und 3 Kinder"]</t>
  </si>
  <si>
    <t>Das österreichische Jahresnettoeinkommen beträgt 42000 EUR (3000 EUR mal 14). Für einen 35-jährigen Familienvater wird das Fünffache bis Sechsfache des Jahresnettoeinkommens als Basis empfohlen, um langfristige Einmalkosten wie Hausumbau und Pflegehilfsmittel zu decken. Gerechnet wurde mit dem Faktor 6 aufgrund der hohen Unterhaltspflichten (3 Kinder, Ehepartner), was 252000 EUR ergibt. Dieser Wert wurde auf 250000 EUR gerundet.</t>
  </si>
  <si>
    <t>Die gesetzliche ASVG-Invaliditätspension beträgt erfahrungsgemäß rund 55 Prozent des letzten Nettoeinkommens. Bei 3000 EUR netto ergibt das eine gesetzliche Leistung von ca. 1650 EUR. Die monatliche Einkommenslücke beträgt somit 1350 EUR. Aufgrund der Unterhaltspflichten für 3 Kinder wird ein Sicherheitszuschlag von 450 EUR (150 EUR pro Kind) addiert, um den erhöhten monatlichen Finanzbedarf der Familie zu decken. Dies ergibt eine Unfallrente von 1800 EUR.</t>
  </si>
  <si>
    <t>Es wird ein österreichisches Gehaltsschema mit 14 Monatsgehältern angenommen. Die ASVG-Pension wird mit 55 Prozent des Nettoeinkommens kalkuliert. Es wird angenommen, dass keine erheblichen Vorerkrankungen oder externen Schulden bestehen, da diese nicht im Profil erwähnt wurden. Der Invaliditätsgrad für die volle Leistungsauslösung wird gemäß österreichischem Standard ab 50 Prozent angenommen.</t>
  </si>
  <si>
    <t>{"baustein_1_einmalzahlung_eur":250000,"baustein_2_unfallrente_monatlich_eur":1800,"beruecksichtigte_faktoren":["Alter 35 Jahre","Nettoeinkommen 3000 EUR pro Monat","Berufsrisiko Bürotätigkeit","Unterhaltspflichten verheiratet und 3 Kinder"],"berechnungslogik_baustein_1":"Das österreichische Jahresnettoeinkommen beträgt 42000 EUR (3000 EUR mal 14). Für einen 35-jährigen Familienvater wird das Fünffache bis Sechsfache des Jahresnettoeinkommens als Basis empfohlen, um langfristige Einmalkosten wie Hausumbau und Pflegehilfsmittel zu decken. Gerechnet wurde mit dem Faktor 6 aufgrund der hohen Unterhaltspflichten (3 Kinder, Ehepartner), was 252000 EUR ergibt. Dieser Wert wurde auf 250000 EUR gerundet.","berechnungslogik_baustein_2":"Die gesetzliche ASVG-Invaliditätspension beträgt erfahrungsgemäß rund 55 Prozent des letzten Nettoeinkommens. Bei 3000 EUR netto ergibt das eine gesetzliche Leistung von ca. 1650 EUR. Die monatliche Einkommenslücke beträgt somit 1350 EUR. Aufgrund der Unterhaltspflichten für 3 Kinder wird ein Sicherheitszuschlag von 450 EUR (150 EUR pro Kind) addiert, um den erhöhten monatlichen Finanzbedarf der Familie zu decken. Dies ergibt eine Unfallrente von 1800 EUR.","getroffene_annahmen":"Es wird ein österreichisches Gehaltsschema mit 14 Monatsgehältern angenommen. Die ASVG-Pension wird mit 55 Prozent des Nettoeinkommens kalkuliert. Es wird angenommen, dass keine erheblichen Vorerkrankungen oder externen Schulden bestehen, da diese nicht im Profil erwähnt wurden. Der Invaliditätsgrad für die volle Leistungsauslösung wird gemäß österreichischem Standard ab 50 Prozent angenommen."}</t>
  </si>
  <si>
    <t>["Alter: 35 Jahre", "Nettoeinkommen: 3.000 Euro", "Beruf: Buerotaetigkeit", "Familienstand: verheiratet", "Kinder: 3 (Unterhaltspflichten)"]</t>
  </si>
  <si>
    <t>Berechnung des Jahresnettoeinkommens: 3.000 Euro mal 14 Monate ergibt 42.000 Euro. Fuer die Einmalzahlung zur Deckung von Wohnungsadaptierungen und Rehabilitation wird das Vierfache des Jahresnettoeinkommens als Basis angesetzt, was 168.000 Euro ergibt. Zur zusaetzlichen Absicherung der Unterhaltspflichten wird ein Betrag von 10.000 Euro pro Kind addiert (3 mal 10.000 Euro ergibt 30.000 Euro). Die Gesamtsumme von 198.000 Euro wird auf 200.000 Euro gerundet.</t>
  </si>
  <si>
    <t>Die Unfallrente dient dem Ausgleich des monatlichen Einkommensverlustes. Bei einer dauernden Erwerbsminderung wird eine gesetzliche ASVG-Invaliditaetspension in Hoehe von 55 Prozent des letzten Nettoeinkommens angenommen. 55 Prozent von 3.000 Euro entsprechen 1.650 Euro. Die monatliche Versorgungsluecke betraegt somit 3.000 Euro minus 1.650 Euro, also 1.350 Euro. Aufgrund der Unterhaltspflichten fuer drei Kinder wird ein Sicherheitsaufschlag von 50 Euro gewaehlt, was zu einer empfohlenen monatlichen Unfallrente von 1.400 Euro fuehrt.</t>
  </si>
  <si>
    <t>Es wird angenommen, dass das oesterreichische Gehalt 14-mal pro Jahr ausbezahlt wird. Die gesetzliche ASVG-Invaliditaetspension wird mit 55 Prozent des aktuellen Nettoeinkommens kalkuliert. Es wird vorausgesetzt, dass keine anderweitigen privaten Versicherungen zur Deckung der Invaliditaet bestehen und die volle Versorgungsluecke durch diese Polizze geschlossen werden muss.</t>
  </si>
  <si>
    <t>{"baustein_1_einmalzahlung_eur":200000,"baustein_2_unfallrente_monatlich_eur":1400,"beruecksichtigte_faktoren":["Alter: 35 Jahre","Nettoeinkommen: 3.000 Euro","Beruf: Buerotaetigkeit","Familienstand: verheiratet","Kinder: 3 (Unterhaltspflichten)"],"berechnungslogik_baustein_1":"Berechnung des Jahresnettoeinkommens: 3.000 Euro mal 14 Monate ergibt 42.000 Euro. Fuer die Einmalzahlung zur Deckung von Wohnungsadaptierungen und Rehabilitation wird das Vierfache des Jahresnettoeinkommens als Basis angesetzt, was 168.000 Euro ergibt. Zur zusaetzlichen Absicherung der Unterhaltspflichten wird ein Betrag von 10.000 Euro pro Kind addiert (3 mal 10.000 Euro ergibt 30.000 Euro). Die Gesamtsumme von 198.000 Euro wird auf 200.000 Euro gerundet.","berechnungslogik_baustein_2":"Die Unfallrente dient dem Ausgleich des monatlichen Einkommensverlustes. Bei einer dauernden Erwerbsminderung wird eine gesetzliche ASVG-Invaliditaetspension in Hoehe von 55 Prozent des letzten Nettoeinkommens angenommen. 55 Prozent von 3.000 Euro entsprechen 1.650 Euro. Die monatliche Versorgungsluecke betraegt somit 3.000 Euro minus 1.650 Euro, also 1.350 Euro. Aufgrund der Unterhaltspflichten fuer drei Kinder wird ein Sicherheitsaufschlag von 50 Euro gewaehlt, was zu einer empfohlenen monatlichen Unfallrente von 1.400 Euro fuehrt.","getroffene_annahmen":"Es wird angenommen, dass das oesterreichische Gehalt 14-mal pro Jahr ausbezahlt wird. Die gesetzliche ASVG-Invaliditaetspension wird mit 55 Prozent des aktuellen Nettoeinkommens kalkuliert. Es wird vorausgesetzt, dass keine anderweitigen privaten Versicherungen zur Deckung der Invaliditaet bestehen und die volle Versorgungsluecke durch diese Polizze geschlossen werden muss."}</t>
  </si>
  <si>
    <t>["Alter: 35 Jahre", "Nettoeinkommen: 3.000 EUR pro Monat", "Berufsrisiko: Buerotaetigkeit", "Unterhaltspflichten: verheiratet, 3 Kinder"]</t>
  </si>
  <si>
    <t>Das Jahresnettoeinkommen wird mit 42.000 EUR (3.000 EUR multipliziert mit 14 Monaten) berechnet. Als Basiswert fuer einen 35-jaehrigen Hauptverdiener wird das 5-Fache des Jahresnettoeinkommens angesetzt, was 210.000 EUR ergibt. Aufgrund der weitreichenden Unterhaltspflichten fuer den Ehepartner und 3 Kinder sowie des potenziell hoeheren Platzbedarfs bei einer notwendigen behindertengerechten Wohnungsadaptierung fuer eine 5-koepfige Familie wird ein Familienzuschlag von 90.000 EUR addiert. Daraus ergibt sich eine empfohlene Einmalzahlung von exakt 300.000 EUR.</t>
  </si>
  <si>
    <t>Das Jahresnettoeinkommen betraegt 42.000 EUR. Es wird kalkuliert, dass die gesetzliche Invaliditaetspension nach ASVG etwa 60 Prozent des letzten Nettoeinkommens abdeckt. Die zu schliessende Versorgungsluecke betraegt somit 40 Prozent des Jahresnettoeinkommens. 40 Prozent von 42.000 EUR entsprechen 16.800 EUR pro Jahr. Umgelegt auf 12 Monate ergibt dies eine benoetigte monatliche Unfallrente von exakt 1.400 EUR, um den Lebensstandard der Familie dauerhaft zu sichern.</t>
  </si>
  <si>
    <t>Es wird angenommen, dass das Einkommen 14-mal pro Jahr bezogen wird, was dem oesterreichischen Standard entspricht. Die gesetzliche ASVG-Invaliditaetspension wird mit einer Ersatzrate von 60 Prozent des bisherigen Nettoeinkommens kalkuliert. Das Berufsrisiko als Buerokraft ist gering, weshalb der Fokus der Absicherung auf dem Freizeitrisiko liegt, was jedoch die Hoehe des finanziellen Bedarfs im Invaliditaetsfall nicht mindert.</t>
  </si>
  <si>
    <t>{"baustein_1_einmalzahlung_eur": 300000, "baustein_2_unfallrente_monatlich_eur": 1400, "beruecksichtigte_faktoren": ["Alter: 35 Jahre", "Nettoeinkommen: 3.000 EUR pro Monat", "Berufsrisiko: Buerotaetigkeit", "Unterhaltspflichten: verheiratet, 3 Kinder"], "berechnungslogik_baustein_1": "Das Jahresnettoeinkommen wird mit 42.000 EUR (3.000 EUR multipliziert mit 14 Monaten) berechnet. Als Basiswert fuer einen 35-jaehrigen Hauptverdiener wird das 5-Fache des Jahresnettoeinkommens angesetzt, was 210.000 EUR ergibt. Aufgrund der weitreichenden Unterhaltspflichten fuer den Ehepartner und 3 Kinder sowie des potenziell hoeheren Platzbedarfs bei einer notwendigen behindertengerechten Wohnungsadaptierung fuer eine 5-koepfige Familie wird ein Familienzuschlag von 90.000 EUR addiert. Daraus ergibt sich eine empfohlene Einmalzahlung von exakt 300.000 EUR.", "berechnungslogik_baustein_2": "Das Jahresnettoeinkommen betraegt 42.000 EUR. Es wird kalkuliert, dass die gesetzliche Invaliditaetspension nach ASVG etwa 60 Prozent des letzten Nettoeinkommens abdeckt. Die zu schliessende Versorgungsluecke betraegt somit 40 Prozent des Jahresnettoeinkommens. 40 Prozent von 42.000 EUR entsprechen 16.800 EUR pro Jahr. Umgelegt auf 12 Monate ergibt dies eine benoetigte monatliche Unfallrente von exakt 1.400 EUR, um den Lebensstandard der Familie dauerhaft zu sichern.", "getroffene_annahmen": "Es wird angenommen, dass das Einkommen 14-mal pro Jahr bezogen wird, was dem oesterreichischen Standard entspricht. Die gesetzliche ASVG-Invaliditaetspension wird mit einer Ersatzrate von 60 Prozent des bisherigen Nettoeinkommens kalkuliert. Das Berufsrisiko als Buerokraft ist gering, weshalb der Fokus der Absicherung auf dem Freizeitrisiko liegt, was jedoch die Hoehe des finanziellen Bedarfs im Invaliditaetsfall nicht mindert."}</t>
  </si>
  <si>
    <t>["Alter: 35 Jahre", "Nettoeinkommen: 3.000 EUR pro Monat", "Berufsrisiko: Handwerker", "Unterhaltspflichten: ledig, keine Kinder"]</t>
  </si>
  <si>
    <t>Das oesterreichische Jahresnettoeinkommen betraegt bei 14 Bezuegen 42.000 EUR. Fuer einen Handwerker mit erhoehtem koerperlichen Berufsrisiko wird das 3,5-fache Jahresnettoeinkommen als Kapitalbedarf fuer Einmalkosten wie Wohnungsadaptierung, behindertengerechtes KFZ und Umschulungen angesetzt, da der Beruf stark von der koerperlichen Unversehrtheit abhaengt. 42.000 EUR multipliziert mit 3,5 ergibt 147.000 EUR, was auf eine marktuebliche glatte Versicherungssumme von 150.000 EUR gerundet wird.</t>
  </si>
  <si>
    <t>Die gesetzliche Invaliditaetspension nach ASVG wird mit durchschnittlich 55 Prozent des letzten Nettoeinkommens kalkuliert. Bei 3.000 EUR Nettoeinkommen ergibt dies eine gesetzliche Leistung von ca. 1.650 EUR. Die monatliche Versorgungsluecke betraegt somit exakt 1.350 EUR (3.000 EUR minus 1.650 EUR). Da der Kunde ledig ist und keine Kinder hat, muss kein zusaetzlicher finanzieller Puffer fuer Unterhaltszahlungen eingerechnet werden, weshalb die Rente exakt auf die Schliessung der persoenlichen Einkommensluecke dimensioniert wird.</t>
  </si>
  <si>
    <t>Es wird angenommen, dass das oesterreichische Gehalt 14 Mal pro Jahr ausbezahlt wird. Die gesetzliche ASVG-Invaliditaetspension wird mit einem durchschnittlichen Ersatzanspruch von 55 Prozent des aktuellen Nettoeinkommens angenommen. Es wird davon ausgegangen, dass keine weiteren privaten Vorsorgen bestehen und der Kunde seinen aktuellen Lebensstandard exakt halten moechte.</t>
  </si>
  <si>
    <t>{"baustein_1_einmalzahlung_eur":150000,"baustein_2_unfallrente_monatlich_eur":1350,"beruecksichtigte_faktoren":["Alter: 35 Jahre","Nettoeinkommen: 3.000 EUR pro Monat","Berufsrisiko: Handwerker","Unterhaltspflichten: ledig, keine Kinder"],"berechnungslogik_baustein_1":"Das oesterreichische Jahresnettoeinkommen betraegt bei 14 Bezuegen 42.000 EUR. Fuer einen Handwerker mit erhoehtem koerperlichen Berufsrisiko wird das 3,5-fache Jahresnettoeinkommen als Kapitalbedarf fuer Einmalkosten wie Wohnungsadaptierung, behindertengerechtes KFZ und Umschulungen angesetzt, da der Beruf stark von der koerperlichen Unversehrtheit abhaengt. 42.000 EUR multipliziert mit 3,5 ergibt 147.000 EUR, was auf eine marktuebliche glatte Versicherungssumme von 150.000 EUR gerundet wird.","berechnungslogik_baustein_2":"Die gesetzliche Invaliditaetspension nach ASVG wird mit durchschnittlich 55 Prozent des letzten Nettoeinkommens kalkuliert. Bei 3.000 EUR Nettoeinkommen ergibt dies eine gesetzliche Leistung von ca. 1.650 EUR. Die monatliche Versorgungsluecke betraegt somit exakt 1.350 EUR (3.000 EUR minus 1.650 EUR). Da der Kunde ledig ist und keine Kinder hat, muss kein zusaetzlicher finanzieller Puffer fuer Unterhaltszahlungen eingerechnet werden, weshalb die Rente exakt auf die Schliessung der persoenlichen Einkommensluecke dimensioniert wird.","getroffene_annahmen":"Es wird angenommen, dass das oesterreichische Gehalt 14 Mal pro Jahr ausbezahlt wird. Die gesetzliche ASVG-Invaliditaetspension wird mit einem durchschnittlichen Ersatzanspruch von 55 Prozent des aktuellen Nettoeinkommens angenommen. Es wird davon ausgegangen, dass keine weiteren privaten Vorsorgen bestehen und der Kunde seinen aktuellen Lebensstandard exakt halten moechte."}</t>
  </si>
  <si>
    <t>["Alter: 35 Jahre", "Monatliches Nettoeinkommen: 3.000 Euro", "Beruf: Handwerker", "Familienstand: ledig, keine Kinder, keine Unterhaltspflichten"]</t>
  </si>
  <si>
    <t>Die Einmalzahlung dient der Deckung von unfallbedingten Einmalkosten wie Wohnungs- oder KFZ-Umbauten sowie Umschulungsmassnahmen. Da der Kunde als Handwerker koerperlich taetig ist, ist bei einer schweren Verletzung ein teurer Berufswechsel oder eine weitreichende Adaptierung des Lebensumfelds sehr wahrscheinlich. Da keine Hinterbliebenen abzusichern sind, richtet sich die Summe rein nach dem Eigenbedarf. Als Faustregel wird hier das 50-fache des monatlichen Nettoeinkommens angesetzt: 50 mal 3.000 Euro ergibt 150.000 Euro.</t>
  </si>
  <si>
    <t>Die monatliche Unfallrente dient dem Schliessen der monatlichen Einkommensluecke bei dauerhafter Erwerbsunfaehigkeit. Das aktuelle Nettoeinkommen betraegt 3.000 Euro. Es wird angenommen, dass die gesetzliche Invaliditaetspension nach ASVG etwa 55 Prozent des letzten Nettoeinkommens betraegt, was 1.650 Euro entspricht. Die Differenz zwischen dem bisherigen Nettoeinkommen und der gesetzlichen Leistung ergibt die zu deckende Versorgungsluecke: 3.000 Euro minus 1.650 Euro ergibt 1.350 Euro.</t>
  </si>
  <si>
    <t>Es wird angenommen, dass die gesetzliche Invaliditaetspension (ASVG) bei ca. 55 Prozent des aktuellen Nettoeinkommens liegt. Weiterhin wird angenommen, dass das angegebene Nettoeinkommen von 3.000 Euro den monatlichen Lebensstandard widerspiegelt und keine weiteren Einkommensquellen bestehen. Fuer die Einmalzahlung wird ein branchenueblicher Faktor von 50 Monatsnettoeinkommen fuer Singles ohne Unterhaltspflichten mit erhoehtem beruflichen Risiko (Handwerker) herangezogen.</t>
  </si>
  <si>
    <t>{"baustein_1_einmalzahlung_eur":150000,"baustein_2_unfallrente_monatlich_eur":1350,"beruecksichtigte_faktoren":["Alter: 35 Jahre","Monatliches Nettoeinkommen: 3.000 Euro","Beruf: Handwerker","Familienstand: ledig, keine Kinder, keine Unterhaltspflichten"],"berechnungslogik_baustein_1":"Die Einmalzahlung dient der Deckung von unfallbedingten Einmalkosten wie Wohnungs- oder KFZ-Umbauten sowie Umschulungsmassnahmen. Da der Kunde als Handwerker koerperlich taetig ist, ist bei einer schweren Verletzung ein teurer Berufswechsel oder eine weitreichende Adaptierung des Lebensumfelds sehr wahrscheinlich. Da keine Hinterbliebenen abzusichern sind, richtet sich die Summe rein nach dem Eigenbedarf. Als Faustregel wird hier das 50-fache des monatlichen Nettoeinkommens angesetzt: 50 mal 3.000 Euro ergibt 150.000 Euro.","berechnungslogik_baustein_2":"Die monatliche Unfallrente dient dem Schliessen der monatlichen Einkommensluecke bei dauerhafter Erwerbsunfaehigkeit. Das aktuelle Nettoeinkommen betraegt 3.000 Euro. Es wird angenommen, dass die gesetzliche Invaliditaetspension nach ASVG etwa 55 Prozent des letzten Nettoeinkommens betraegt, was 1.650 Euro entspricht. Die Differenz zwischen dem bisherigen Nettoeinkommen und der gesetzlichen Leistung ergibt die zu deckende Versorgungsluecke: 3.000 Euro minus 1.650 Euro ergibt 1.350 Euro.","getroffene_annahmen":"Es wird angenommen, dass die gesetzliche Invaliditaetspension (ASVG) bei ca. 55 Prozent des aktuellen Nettoeinkommens liegt. Weiterhin wird angenommen, dass das angegebene Nettoeinkommen von 3.000 Euro den monatlichen Lebensstandard widerspiegelt und keine weiteren Einkommensquellen bestehen. Fuer die Einmalzahlung wird ein branchenueblicher Faktor von 50 Monatsnettoeinkommen fuer Singles ohne Unterhaltspflichten mit erhoehtem beruflichen Risiko (Handwerker) herangezogen."}</t>
  </si>
  <si>
    <t>Die Einmalzahlung dient der Deckung von Umbaukosten (Wohnung, KFZ) und Umschulungen. Für einen 35-jährigen Handwerker wird das 5-fache Jahresnettoeinkommen angesetzt, da bei Invalidität ein kompletter Berufswechsel sehr wahrscheinlich ist. Das Jahresnettoeinkommen (inklusive 13. und 14. Gehalt) berechnet sich aus 3.000 EUR mal 14, was 42.000 EUR ergibt. 5 mal 42.000 EUR ergibt 210.000 EUR. Zur Vereinfachung und als branchenüblicher Richtwert wird ein glatter Betrag von 200.000 EUR empfohlen. Da der Kunde ledig ist und keine Kinder hat, ist kein zusätzlicher Kapitalbedarf für die Absicherung von Hinterbliebenen notwendig.</t>
  </si>
  <si>
    <t>Die Unfallrente soll die monatliche Einkommenslücke zwischen dem bisherigen Nettoeinkommen und der gesetzlichen Invaliditätspension (ASVG) schließen. Das aktuelle Nettoeinkommen beträgt 3.000 EUR. Die gesetzliche Invaliditätspension wird mit 60 Prozent des letzten Nettoeinkommens angenommen, was 1.800 EUR entspricht. Die zu schließende Versorgungslücke berechnet sich somit aus 3.000 EUR minus 1.800 EUR, was exakt 1.200 EUR ergibt. Dieser Betrag wird als monatliche Unfallrente empfohlen, um den Lebensstandard des Kunden dauerhaft zu sichern.</t>
  </si>
  <si>
    <t>Es wird angenommen, dass das österreichische Gehalt 14-mal jährlich ausbezahlt wird. Für die gesetzliche ASVG-Invaliditätspension wird ein durchschnittlicher Ersatzanspruch von 60 Prozent des letzten Nettoeinkommens unterstellt. Zudem wird davon ausgegangen, dass der Kunde aufgrund seines Berufs als Handwerker bei einer schweren körperlichen Beeinträchtigung seinen Beruf nicht mehr ausüben kann und daher ein erhöhter Kapitalbedarf für Umschulungen und barrierefreie Umbauten besteht.</t>
  </si>
  <si>
    <t>{"baustein_1_einmalzahlung_eur":200000,"baustein_2_unfallrente_monatlich_eur":1200,"beruecksichtigte_faktoren":["Alter: 35 Jahre","Nettoeinkommen: 3.000 EUR pro Monat","Berufsrisiko: Handwerker","Unterhaltspflichten: ledig, keine Kinder"],"berechnungslogik_baustein_1":"Die Einmalzahlung dient der Deckung von Umbaukosten (Wohnung, KFZ) und Umschulungen. Für einen 35-jährigen Handwerker wird das 5-fache Jahresnettoeinkommen angesetzt, da bei Invalidität ein kompletter Berufswechsel sehr wahrscheinlich ist. Das Jahresnettoeinkommen (inklusive 13. und 14. Gehalt) berechnet sich aus 3.000 EUR mal 14, was 42.000 EUR ergibt. 5 mal 42.000 EUR ergibt 210.000 EUR. Zur Vereinfachung und als branchenüblicher Richtwert wird ein glatter Betrag von 200.000 EUR empfohlen. Da der Kunde ledig ist und keine Kinder hat, ist kein zusätzlicher Kapitalbedarf für die Absicherung von Hinterbliebenen notwendig.","berechnungslogik_baustein_2":"Die Unfallrente soll die monatliche Einkommenslücke zwischen dem bisherigen Nettoeinkommen und der gesetzlichen Invaliditätspension (ASVG) schließen. Das aktuelle Nettoeinkommen beträgt 3.000 EUR. Die gesetzliche Invaliditätspension wird mit 60 Prozent des letzten Nettoeinkommens angenommen, was 1.800 EUR entspricht. Die zu schließende Versorgungslücke berechnet sich somit aus 3.000 EUR minus 1.800 EUR, was exakt 1.200 EUR ergibt. Dieser Betrag wird als monatliche Unfallrente empfohlen, um den Lebensstandard des Kunden dauerhaft zu sichern.","getroffene_annahmen":"Es wird angenommen, dass das österreichische Gehalt 14-mal jährlich ausbezahlt wird. Für die gesetzliche ASVG-Invaliditätspension wird ein durchschnittlicher Ersatzanspruch von 60 Prozent des letzten Nettoeinkommens unterstellt. Zudem wird davon ausgegangen, dass der Kunde aufgrund seines Berufs als Handwerker bei einer schweren körperlichen Beeinträchtigung seinen Beruf nicht mehr ausüben kann und daher ein erhöhter Kapitalbedarf für Umschulungen und barrierefreie Umbauten besteht."}</t>
  </si>
  <si>
    <t>["Alter: 35 Jahre", "Nettoeinkommen: 3.000 EUR pro Monat", "Berufsrisiko: Handwerker", "Unterhaltspflichten: verheiratet, 3 Kinder"]</t>
  </si>
  <si>
    <t>Das Jahresnettoeinkommen beträgt bei 14 Gehältern in Österreich 42.000 EUR. Aufgrund des erhöhten Berufsrisikos als Handwerker und der hohen Unterhaltspflichten (3 Kinder, Ehepartner) wird das rund 6-fache Jahresnettoeinkommen als Einmalzahlung bei 100 Prozent Invalidität empfohlen, um teure Umbaumaßnahmen (z.B. rollstuhlgerechtes Wohnen) und Umschulungen zu finanzieren. 42.000 EUR multipliziert mit 6 ergibt 252.000 EUR, was auf 250.000 EUR gerundet wird.</t>
  </si>
  <si>
    <t>Das aktuelle monatliche Nettoeinkommen beträgt 3.000 EUR. Bei einer dauerhaften Erwerbsunfähigkeit wird eine gesetzliche ASVG-Invaliditätspension in Höhe von ca. 55 Prozent des letzten Nettoeinkommens angenommen. Dies entspricht 1.650 EUR. Um den Lebensstandard der Familie mit 3 Kindern zu halten, muss die monatliche Einkommenslücke von 1.350 EUR (3.000 EUR minus 1.650 EUR) durch die private Unfallrente vollständig geschlossen werden.</t>
  </si>
  <si>
    <t>Es wird angenommen, dass das Gehalt österreich-typisch 14-mal pro Jahr bezogen wird. Für die gesetzliche ASVG-Invaliditätspension wird ein durchschnittlicher Deckungsgrad von 55 Prozent des letzten Nettoeinkommens angesetzt. Zusätzlich wird angenommen, dass keine weiteren signifikanten Ersparnisse oder anderweitigen Absicherungen bestehen, weshalb die Unfallversicherung die volle Lücke schließen muss.</t>
  </si>
  <si>
    <t>{"baustein_1_einmalzahlung_eur":250000,"baustein_2_unfallrente_monatlich_eur":1350,"beruecksichtigte_faktoren":["Alter: 35 Jahre","Nettoeinkommen: 3.000 EUR pro Monat","Berufsrisiko: Handwerker","Unterhaltspflichten: verheiratet, 3 Kinder"],"berechnungslogik_baustein_1":"Das Jahresnettoeinkommen beträgt bei 14 Gehältern in Österreich 42.000 EUR. Aufgrund des erhöhten Berufsrisikos als Handwerker und der hohen Unterhaltspflichten (3 Kinder, Ehepartner) wird das rund 6-fache Jahresnettoeinkommen als Einmalzahlung bei 100 Prozent Invalidität empfohlen, um teure Umbaumaßnahmen (z.B. rollstuhlgerechtes Wohnen) und Umschulungen zu finanzieren. 42.000 EUR multipliziert mit 6 ergibt 252.000 EUR, was auf 250.000 EUR gerundet wird.","berechnungslogik_baustein_2":"Das aktuelle monatliche Nettoeinkommen beträgt 3.000 EUR. Bei einer dauerhaften Erwerbsunfähigkeit wird eine gesetzliche ASVG-Invaliditätspension in Höhe von ca. 55 Prozent des letzten Nettoeinkommens angenommen. Dies entspricht 1.650 EUR. Um den Lebensstandard der Familie mit 3 Kindern zu halten, muss die monatliche Einkommenslücke von 1.350 EUR (3.000 EUR minus 1.650 EUR) durch die private Unfallrente vollständig geschlossen werden.","getroffene_annahmen":"Es wird angenommen, dass das Gehalt österreich-typisch 14-mal pro Jahr bezogen wird. Für die gesetzliche ASVG-Invaliditätspension wird ein durchschnittlicher Deckungsgrad von 55 Prozent des letzten Nettoeinkommens angesetzt. Zusätzlich wird angenommen, dass keine weiteren signifikanten Ersparnisse oder anderweitigen Absicherungen bestehen, weshalb die Unfallversicherung die volle Lücke schließen muss."}</t>
  </si>
  <si>
    <t>["Alter: 35 Jahre", "Monatliches Nettoeinkommen: 3.000 Euro", "Beruf: Handwerker (hohes koerperliches Risiko)", "Familienstand: verheiratet", "Kinder: 3 (hohe Unterhaltspflichten)"]</t>
  </si>
  <si>
    <t>Das oesterreichische Jahresnettoeinkommen betraegt bei 14 Gehaeltern 42.000 Euro (3.000 Euro mal 14). Fuer einen 35-jaehrigen Handwerker mit hoher koerperlicher Berufsabhaengigkeit und Unterhaltspflichten fuer vier Personen (Ehepartner, 3 Kinder) wird das Fuenffache des Jahresnettoeinkommens als Basis-Einmalzahlung empfohlen, um behindertengerechte Umbauten, Umschulungen und den Wegfall der Arbeitskraft zu kompensieren. Rechnung: 42.000 Euro mal 5 ergibt 210.000 Euro.</t>
  </si>
  <si>
    <t>Ziel ist die exakte Schliessung der monatlichen Einkommensluecke bei dauernder Invaliditaet, um den Lebensstandard der Familie zu sichern. Das aktuelle Nettoeinkommen betraegt 3.000 Euro. Die gesetzliche ASVG-Pension wird mit 55 Prozent des Nettoeinkommens angesetzt, was 1.650 Euro entspricht. Die Differenz betraegt somit 1.350 Euro (3.000 Euro minus 1.650 Euro).</t>
  </si>
  <si>
    <t>Es wird der oesterreichische Standard von 14 Monatsgehaeltern pro Jahr angenommen. Die gesetzliche Invaliditaetspension nach ASVG wird pauschal mit 55 Prozent des letzten Nettoeinkommens kalkuliert. Es wird vorausgesetzt, dass keine anderweitigen privaten Vorsorgeprodukte zur Deckung der Einkommensluecke bestehen.</t>
  </si>
  <si>
    <t>{"baustein_1_einmalzahlung_eur":210000,"baustein_2_unfallrente_monatlich_eur":1350,"beruecksichtigte_faktoren":["Alter: 35 Jahre","Monatliches Nettoeinkommen: 3.000 Euro","Beruf: Handwerker (hohes koerperliches Risiko)","Familienstand: verheiratet","Kinder: 3 (hohe Unterhaltspflichten)"],"berechnungslogik_baustein_1":"Das oesterreichische Jahresnettoeinkommen betraegt bei 14 Gehaeltern 42.000 Euro (3.000 Euro mal 14). Fuer einen 35-jaehrigen Handwerker mit hoher koerperlicher Berufsabhaengigkeit und Unterhaltspflichten fuer vier Personen (Ehepartner, 3 Kinder) wird das Fuenffache des Jahresnettoeinkommens als Basis-Einmalzahlung empfohlen, um behindertengerechte Umbauten, Umschulungen und den Wegfall der Arbeitskraft zu kompensieren. Rechnung: 42.000 Euro mal 5 ergibt 210.000 Euro.","berechnungslogik_baustein_2":"Ziel ist die exakte Schliessung der monatlichen Einkommensluecke bei dauernder Invaliditaet, um den Lebensstandard der Familie zu sichern. Das aktuelle Nettoeinkommen betraegt 3.000 Euro. Die gesetzliche ASVG-Pension wird mit 55 Prozent des Nettoeinkommens angesetzt, was 1.650 Euro entspricht. Die Differenz betraegt somit 1.350 Euro (3.000 Euro minus 1.650 Euro).","getroffene_annahmen":"Es wird der oesterreichische Standard von 14 Monatsgehaeltern pro Jahr angenommen. Die gesetzliche Invaliditaetspension nach ASVG wird pauschal mit 55 Prozent des letzten Nettoeinkommens kalkuliert. Es wird vorausgesetzt, dass keine anderweitigen privaten Vorsorgeprodukte zur Deckung der Einkommensluecke bestehen."}</t>
  </si>
  <si>
    <t>["Alter: 35 Jahre", "Nettoeinkommen: 3.000 EUR/Monat", "Berufsrisiko: Handwerker", "Unterhaltspflichten: verheiratet, 3 Kinder"]</t>
  </si>
  <si>
    <t>Das österreichische Jahresnettoeinkommen beträgt 42.000 EUR (3.000 EUR x 14 Monate). Für einen 35-jährigen Familienvater mit 3 Kindern wird als Basis das Fünffache des Jahresnettoeinkommens angesetzt, um den langfristigen Kapitalbedarf bei Invalidität zu decken (5 x 42.000 EUR = 210.000 EUR). Da der Kunde als Handwerker ein hohes physisches Berufsrisiko trägt und bei schwerer Invalidität mit großer Wahrscheinlichkeit seinen Beruf nicht mehr ausüben kann, wird ein zusätzlicher Puffer von 90.000 EUR für notwendige Einmalkosten wie den behindertengerechten Umbau von Haus/Wohnung und KFZ sowie Umschulungsmaßnahmen addiert. Dies ergibt eine empfohlene Versicherungssumme von exakt 300.000 EUR.</t>
  </si>
  <si>
    <t>Die Unfallrente dient der Schließung der monatlichen Einkommenslücke. Das aktuelle Nettoeinkommen beträgt 3.000 EUR. Es wird angenommen, dass die gesetzliche ASVG-Invaliditätspension etwa 55 Prozent des letzten Nettoeinkommens beträgt, was 1.650 EUR entspricht. Daraus resultiert eine monatliche Versorgungslücke von 1.350 EUR (3.000 EUR - 1.650 EUR). Da das österreichische Gehalt 14-mal ausgezahlt wird, die private Unfallrente jedoch in der Regel 12-mal pro Jahr, muss die Lücke auf 12 Monate umgerechnet werden (1.350 EUR x 14 / 12 = 1.575 EUR). Unter Berücksichtigung von leichten Einsparungen bei den berufsbedingten Ausgaben wird der Betrag auf exakt 1.500 EUR monatliche Unfallrente abgerundet, um den Lebensstandard der fünfköpfigen Familie dauerhaft abzusichern.</t>
  </si>
  <si>
    <t>Es wird angenommen, dass das Nettoeinkommen nach österreichischem Standard 14-mal pro Jahr ausbezahlt wird. Die gesetzliche ASVG-Invaliditätspension wird mit 55 Prozent des letzten Nettoeinkommens kalkuliert. Es wird vorausgesetzt, dass keine anderweitigen privaten Vorsorgen (wie eine Berufsunfähigkeitsversicherung) oder nennenswerte Ersparnisse bestehen. Für behindertengerechte Adaptierungen (Wohnraum, KFZ) wird ein pauschaler Kapitalbedarf von 90.000 EUR angenommen.</t>
  </si>
  <si>
    <t>{"baustein_1_einmalzahlung_eur":300000,"baustein_2_unfallrente_monatlich_eur":1500,"beruecksichtigte_faktoren":["Alter: 35 Jahre","Nettoeinkommen: 3.000 EUR/Monat","Berufsrisiko: Handwerker","Unterhaltspflichten: verheiratet, 3 Kinder"],"berechnungslogik_baustein_1":"Das österreichische Jahresnettoeinkommen beträgt 42.000 EUR (3.000 EUR x 14 Monate). Für einen 35-jährigen Familienvater mit 3 Kindern wird als Basis das Fünffache des Jahresnettoeinkommens angesetzt, um den langfristigen Kapitalbedarf bei Invalidität zu decken (5 x 42.000 EUR = 210.000 EUR). Da der Kunde als Handwerker ein hohes physisches Berufsrisiko trägt und bei schwerer Invalidität mit großer Wahrscheinlichkeit seinen Beruf nicht mehr ausüben kann, wird ein zusätzlicher Puffer von 90.000 EUR für notwendige Einmalkosten wie den behindertengerechten Umbau von Haus/Wohnung und KFZ sowie Umschulungsmaßnahmen addiert. Dies ergibt eine empfohlene Versicherungssumme von exakt 300.000 EUR.","berechnungslogik_baustein_2":"Die Unfallrente dient der Schließung der monatlichen Einkommenslücke. Das aktuelle Nettoeinkommen beträgt 3.000 EUR. Es wird angenommen, dass die gesetzliche ASVG-Invaliditätspension etwa 55 Prozent des letzten Nettoeinkommens beträgt, was 1.650 EUR entspricht. Daraus resultiert eine monatliche Versorgungslücke von 1.350 EUR (3.000 EUR - 1.650 EUR). Da das österreichische Gehalt 14-mal ausgezahlt wird, die private Unfallrente jedoch in der Regel 12-mal pro Jahr, muss die Lücke auf 12 Monate umgerechnet werden (1.350 EUR x 14 / 12 = 1.575 EUR). Unter Berücksichtigung von leichten Einsparungen bei den berufsbedingten Ausgaben wird der Betrag auf exakt 1.500 EUR monatliche Unfallrente abgerundet, um den Lebensstandard der fünfköpfigen Familie dauerhaft abzusichern.","getroffene_annahmen":"Es wird angenommen, dass das Nettoeinkommen nach österreichischem Standard 14-mal pro Jahr ausbezahlt wird. Die gesetzliche ASVG-Invaliditätspension wird mit 55 Prozent des letzten Nettoeinkommens kalkuliert. Es wird vorausgesetzt, dass keine anderweitigen privaten Vorsorgen (wie eine Berufsunfähigkeitsversicherung) oder nennenswerte Ersparnisse bestehen. Für behindertengerechte Adaptierungen (Wohnraum, KFZ) wird ein pauschaler Kapitalbedarf von 90.000 EUR angenommen."}</t>
  </si>
  <si>
    <t>["Alter: 35 Jahre", "Nettoeinkommen: 3.000 EUR pro Monat", "Berufsrisiko: Dachdecker/Geruestbauer (sehr hohes koerperliches Risiko)", "Unterhaltspflichten: ledig, keine Kinder"]</t>
  </si>
  <si>
    <t>Die Einmalzahlung dient der Deckung von unfallbedingten Einmalkosten wie dem barrierefreien Umbau von Wohnraum oder KFZ sowie speziellen Rehabilitationsmassnahmen. Aufgrund des sehr hohen Berufsrisikos als Dachdecker/Geruestbauer ist die Wahrscheinlichkeit fuer schwere koerperliche Beeintraechtigungen bei einem Unfall ueberdurchschnittlich hoch. Als Berechnungsbasis wird das rund 4-fache des Jahresnettoeinkommens (12 Monate x 3.000 EUR = 36.000 EUR Jahresnetto) herangezogen. 4 x 36.000 EUR ergibt 144.000 EUR. Dieser Wert wurde auf 150.000 EUR aufgerundet, um einen soliden Puffer fuer umfangreiche Adaptierungen zu schaffen. Da der Kunde ledig ist und keine Kinder hat, muss kein zusaetzliches Kapital zur Absicherung von Angehoerigen aufgeschlagen werden.</t>
  </si>
  <si>
    <t>Die monatliche Unfallrente dient dem dauerhaften Ausgleich des Einkommensausfalls und soll die Luecke zwischen dem bisherigen Nettoeinkommen und der gesetzlichen Invaliditaetspension schliessen. Das aktuelle Nettoeinkommen betraegt 3.000 EUR. Bei einem 35-jaehrigen Arbeitnehmer wird als Referenzwert fuer die gesetzliche ASVG-Invaliditaetspension ein Anspruch von ca. 55 Prozent des letzten Nettoeinkommens angesetzt. Dies entspricht einer gesetzlichen Leistung von 1.650 EUR (3.000 EUR x 0,55). Die zu schliessende Versorgungsluecke berechnet sich somit aus dem bisherigen Nettoeinkommen (3.000 EUR) abzueglich der erwarteten gesetzlichen Leistung (1.650 EUR). Daraus resultiert ein exakter monatlicher Bedarf von 1.350 EUR.</t>
  </si>
  <si>
    <t>Es wird angenommen, dass die gesetzliche Invaliditaetspension nach ASVG bei dauernder Erwerbsminderung ca. 55 Prozent des aktuellen Nettoeinkommens betraegt. Weiterhin wird angenommen, dass das Jahresnettoeinkommen exakt 36.000 EUR (12 x 3.000 EUR, ohne Beruecksichtigung von Sonderzahlungen zur Vereinfachung) betraegt und keine weiteren privaten Vorsorgen wie eine Berufsunfaehigkeitsversicherung bestehen, die die Versorgungsluecke bereits teilweise schliessen wuerden. Fuer die Einmalzahlung wird ein Bedarf vom 4- bis 4,5-fachen Jahresnettoeinkommen als adaequat fuer schwerwiegende Umbaumassnahmen erachtet.</t>
  </si>
  <si>
    <t>{
  "baustein_1_einmalzahlung_eur": 150000,
  "baustein_2_unfallrente_monatlich_eur": 1350,
  "beruecksichtigte_faktoren": [
    "Alter: 35 Jahre",
    "Nettoeinkommen: 3.000 EUR pro Monat",
    "Berufsrisiko: Dachdecker/Geruestbauer (sehr hohes koerperliches Risiko)",
    "Unterhaltspflichten: ledig, keine Kinder"
  ],
  "berechnungslogik_baustein_1": "Die Einmalzahlung dient der Deckung von unfallbedingten Einmalkosten wie dem barrierefreien Umbau von Wohnraum oder KFZ sowie speziellen Rehabilitationsmassnahmen. Aufgrund des sehr hohen Berufsrisikos als Dachdecker/Geruestbauer ist die Wahrscheinlichkeit fuer schwere koerperliche Beeintraechtigungen bei einem Unfall ueberdurchschnittlich hoch. Als Berechnungsbasis wird das rund 4-fache des Jahresnettoeinkommens (12 Monate x 3.000 EUR = 36.000 EUR Jahresnetto) herangezogen. 4 x 36.000 EUR ergibt 144.000 EUR. Dieser Wert wurde auf 150.000 EUR aufgerundet, um einen soliden Puffer fuer umfangreiche Adaptierungen zu schaffen. Da der Kunde ledig ist und keine Kinder hat, muss kein zusaetzliches Kapital zur Absicherung von Angehoerigen aufgeschlagen werden.",
  "berechnungslogik_baustein_2": "Die monatliche Unfallrente dient dem dauerhaften Ausgleich des Einkommensausfalls und soll die Luecke zwischen dem bisherigen Nettoeinkommen und der gesetzlichen Invaliditaetspension schliessen. Das aktuelle Nettoeinkommen betraegt 3.000 EUR. Bei einem 35-jaehrigen Arbeitnehmer wird als Referenzwert fuer die gesetzliche ASVG-Invaliditaetspension ein Anspruch von ca. 55 Prozent des letzten Nettoeinkommens angesetzt. Dies entspricht einer gesetzlichen Leistung von 1.650 EUR (3.000 EUR x 0,55). Die zu schliessende Versorgungsluecke berechnet sich somit aus dem bisherigen Nettoeinkommen (3.000 EUR) abzueglich der erwarteten gesetzlichen Leistung (1.650 EUR). Daraus resultiert ein exakter monatlicher Bedarf von 1.350 EUR.",
  "getroffene_annahmen": "Es wird angenommen, dass die gesetzliche Invaliditaetspension nach ASVG bei dauernder Erwerbsminderung ca. 55 Prozent des aktuellen Nettoeinkommens betraegt. Weiterhin wird angenommen, dass das Jahresnettoeinkommen exakt 36.000 EUR (12 x 3.000 EUR, ohne Beruecksichtigung von Sonderzahlungen zur Vereinfachung) betraegt und keine weiteren privaten Vorsorgen wie eine Berufsunfaehigkeitsversicherung bestehen, die die Versorgungsluecke bereits teilweise schliessen wuerden. Fuer die Einmalzahlung wird ein Bedarf vom 4- bis 4,5-fachen Jahresnettoeinkommen als adaequat fuer schwerwiegende Umbaumassnahmen erachtet."
}</t>
  </si>
  <si>
    <t>["Alter 35 Jahre", "Nettoeinkommen 3.000 Euro", "Beruf Dachdecker/Gerüstbauer", "Ledig, keine Kinder, keine Unterhaltspflichten"]</t>
  </si>
  <si>
    <t>Die Einmalzahlung dient der Deckung unfallbedingter Einmalkosten wie Wohnungs- oder Fahrzeugumbauten. Als Berechnungsbasis wird das 5-fache des Jahresnettoeinkommens herangezogen. Bei einem monatlichen Nettoeinkommen von 3.000 Euro und der Annahme von 14 Monatsgehältern ergibt sich ein Jahresnettoeinkommen von 42.000 Euro. Multipliziert mit dem Faktor 5 resultiert ein Bedarf von 210.000 Euro. Dieser Wert wird auf den marktüblichen und glatten Betrag von 200.000 Euro gerundet. Der hohe Faktor 5 ist durch das hohe körperliche Berufsrisiko als Dachdecker und Gerüstbauer begründet, da hier bei Invalidität ein vollständiger Berufswechsel und weitreichende Adaptierungen des Lebensumfelds sehr wahrscheinlich sind.</t>
  </si>
  <si>
    <t>Die Unfallrente soll den laufenden Einkommensverlust kompensieren. Das aktuelle Nettoeinkommen beträgt 3.000 Euro. Da der Kunde ledig ist und keine Unterhaltspflichten hat, muss exakt der eigene Lebensstandard abgesichert werden. Von den 3.000 Euro wird die zu erwartende gesetzliche Invaliditätspension abgezogen. Diese wird auf 1.500 Euro geschätzt. Die verbleibende Versorgungslücke beträgt somit 1.500 Euro, welche durch die private Unfallrente abgedeckt wird.</t>
  </si>
  <si>
    <t>Es wird angenommen, dass der Kunde 14 Monatsgehälter pro Jahr bezieht, was dem österreichischen Standard entspricht. Die gesetzliche Invaliditätspension (ASVG) wird aufgrund des Alters von 35 Jahren und der bisherigen Beitragsdauer auf 50 Prozent des letzten Nettoeinkommens, also 1.500 Euro, geschätzt. Es wird vorausgesetzt, dass keine anderweitige Absicherung wie eine Berufsunfähigkeitsversicherung besteht.</t>
  </si>
  <si>
    <t>{"baustein_1_einmalzahlung_eur":200000,"baustein_2_unfallrente_monatlich_eur":1500,"beruecksichtigte_faktoren":["Alter 35 Jahre","Nettoeinkommen 3.000 Euro","Beruf Dachdecker/Gerüstbauer","Ledig, keine Kinder, keine Unterhaltspflichten"],"berechnungslogik_baustein_1":"Die Einmalzahlung dient der Deckung unfallbedingter Einmalkosten wie Wohnungs- oder Fahrzeugumbauten. Als Berechnungsbasis wird das 5-fache des Jahresnettoeinkommens herangezogen. Bei einem monatlichen Nettoeinkommen von 3.000 Euro und der Annahme von 14 Monatsgehältern ergibt sich ein Jahresnettoeinkommen von 42.000 Euro. Multipliziert mit dem Faktor 5 resultiert ein Bedarf von 210.000 Euro. Dieser Wert wird auf den marktüblichen und glatten Betrag von 200.000 Euro gerundet. Der hohe Faktor 5 ist durch das hohe körperliche Berufsrisiko als Dachdecker und Gerüstbauer begründet, da hier bei Invalidität ein vollständiger Berufswechsel und weitreichende Adaptierungen des Lebensumfelds sehr wahrscheinlich sind.","berechnungslogik_baustein_2":"Die Unfallrente soll den laufenden Einkommensverlust kompensieren. Das aktuelle Nettoeinkommen beträgt 3.000 Euro. Da der Kunde ledig ist und keine Unterhaltspflichten hat, muss exakt der eigene Lebensstandard abgesichert werden. Von den 3.000 Euro wird die zu erwartende gesetzliche Invaliditätspension abgezogen. Diese wird auf 1.500 Euro geschätzt. Die verbleibende Versorgungslücke beträgt somit 1.500 Euro, welche durch die private Unfallrente abgedeckt wird.","getroffene_annahmen":"Es wird angenommen, dass der Kunde 14 Monatsgehälter pro Jahr bezieht, was dem österreichischen Standard entspricht. Die gesetzliche Invaliditätspension (ASVG) wird aufgrund des Alters von 35 Jahren und der bisherigen Beitragsdauer auf 50 Prozent des letzten Nettoeinkommens, also 1.500 Euro, geschätzt. Es wird vorausgesetzt, dass keine anderweitige Absicherung wie eine Berufsunfähigkeitsversicherung besteht."}</t>
  </si>
  <si>
    <t>["Alter: 35 Jahre", "Nettoeinkommen: 3.000 EUR pro Monat", "Berufsrisiko: Dachdecker/Gerüstbauer (hohes körperliches Risiko)", "Unterhaltspflichten: ledig, keine Kinder"]</t>
  </si>
  <si>
    <t>Das Jahresnettoeinkommen unter Berücksichtigung des in Österreich üblichen 13. und 14. Gehalts beträgt 42.000 EUR (3.000 EUR x 14). Für einen 35-jährigen Kunden in einem Beruf mit sehr hohem körperlichen Risiko (Dachdecker/Gerüstbauer) bedeutet eine schwere Invalidität meist das sofortige berufliche Aus in dieser Branche. Um weitreichende Umschulungen, den Wegfall der bisherigen Lebensgrundlage sowie notwendige Adaptierungen von Wohnraum und KFZ zu finanzieren, wird das 4-fache Jahresnettoeinkommen als Einmalzahlung angesetzt. Da der Kunde ledig und kinderlos ist, sind keine zusätzlichen Aufschläge für die Absicherung von Hinterbliebenen notwendig. Die Berechnung lautet somit: 42.000 EUR x 4 = 168.000 EUR.</t>
  </si>
  <si>
    <t>Die Unfallrente dient dem Ausgleich der monatlichen Einkommenslücke bei dauernder Erwerbsminderung. Das aktuelle Nettoeinkommen beträgt 3.000 EUR. Es wird angenommen, dass die gesetzliche Invaliditätspension (ASVG) bei einem 35-Jährigen aufgrund der noch relativ kurzen Beitragsdauer etwa 55 Prozent des aktuellen Nettoeinkommens beträgt. Dies entspricht einer gesetzlichen Leistung von 1.650 EUR. Die direkte monatliche Differenz beträgt somit 1.350 EUR (3.000 EUR - 1.650 EUR). Da in Österreich das 13. und 14. Gehalt bei der gesetzlichen Pension zwar berücksichtigt wird, die private Unfallrente aber meist nur 12-mal jährlich ausbezahlt wird, wird der Betrag zur vollständigen Deckung des Jahresnettoverlustes auf 1.500 EUR monatlich aufgerundet.</t>
  </si>
  <si>
    <t>1. Der Kunde bezieht 14 Monatsgehälter pro Jahr, was einem Jahresnettoeinkommen von 42.000 EUR entspricht. 2. Die gesetzliche ASVG-Invaliditätspension wird mit 55 Prozent des letzten Nettoeinkommens (1.650 EUR) angenommen. 3. Die private Unfallrente wird 12-mal jährlich ausbezahlt. 4. Es wird der Fall einer 100-prozentigen Invalidität angenommen, bei der der Kunde seinen Beruf als Dachdecker/Gerüstbauer nicht mehr ausüben kann und vollständig auf die Rentenleistung angewiesen ist.</t>
  </si>
  <si>
    <t>{
  "baustein_1_einmalzahlung_eur": 168000,
  "baustein_2_unfallrente_monatlich_eur": 1500,
  "beruecksichtigte_faktoren": [
    "Alter: 35 Jahre",
    "Nettoeinkommen: 3.000 EUR pro Monat",
    "Berufsrisiko: Dachdecker/Gerüstbauer (hohes körperliches Risiko)",
    "Unterhaltspflichten: ledig, keine Kinder"
  ],
  "berechnungslogik_baustein_1": "Das Jahresnettoeinkommen unter Berücksichtigung des in Österreich üblichen 13. und 14. Gehalts beträgt 42.000 EUR (3.000 EUR x 14). Für einen 35-jährigen Kunden in einem Beruf mit sehr hohem körperlichen Risiko (Dachdecker/Gerüstbauer) bedeutet eine schwere Invalidität meist das sofortige berufliche Aus in dieser Branche. Um weitreichende Umschulungen, den Wegfall der bisherigen Lebensgrundlage sowie notwendige Adaptierungen von Wohnraum und KFZ zu finanzieren, wird das 4-fache Jahresnettoeinkommen als Einmalzahlung angesetzt. Da der Kunde ledig und kinderlos ist, sind keine zusätzlichen Aufschläge für die Absicherung von Hinterbliebenen notwendig. Die Berechnung lautet somit: 42.000 EUR x 4 = 168.000 EUR.",
  "berechnungslogik_baustein_2": "Die Unfallrente dient dem Ausgleich der monatlichen Einkommenslücke bei dauernder Erwerbsminderung. Das aktuelle Nettoeinkommen beträgt 3.000 EUR. Es wird angenommen, dass die gesetzliche Invaliditätspension (ASVG) bei einem 35-Jährigen aufgrund der noch relativ kurzen Beitragsdauer etwa 55 Prozent des aktuellen Nettoeinkommens beträgt. Dies entspricht einer gesetzlichen Leistung von 1.650 EUR. Die direkte monatliche Differenz beträgt somit 1.350 EUR (3.000 EUR - 1.650 EUR). Da in Österreich das 13. und 14. Gehalt bei der gesetzlichen Pension zwar berücksichtigt wird, die private Unfallrente aber meist nur 12-mal jährlich ausbezahlt wird, wird der Betrag zur vollständigen Deckung des Jahresnettoverlustes auf 1.500 EUR monatlich aufgerundet.",
  "getroffene_annahmen": "1. Der Kunde bezieht 14 Monatsgehälter pro Jahr, was einem Jahresnettoeinkommen von 42.000 EUR entspricht. 2. Die gesetzliche ASVG-Invaliditätspension wird mit 55 Prozent des letzten Nettoeinkommens (1.650 EUR) angenommen. 3. Die private Unfallrente wird 12-mal jährlich ausbezahlt. 4. Es wird der Fall einer 100-prozentigen Invalidität angenommen, bei der der Kunde seinen Beruf als Dachdecker/Gerüstbauer nicht mehr ausüben kann und vollständig auf die Rentenleistung angewiesen ist."
}</t>
  </si>
  <si>
    <t>["Alter: 35 Jahre", "Nettoeinkommen: 3.000 EUR/Monat", "Berufsrisiko: Dachdecker/Geruestbauer", "Unterhaltspflichten: verheiratet, 3 Kinder"]</t>
  </si>
  <si>
    <t>Das Jahresnettoeinkommen wird mit 14 Gehaeltern auf 42000 EUR berechnet. Als Basis wird das 5-fache Jahresnettoeinkommen angesetzt, was 210000 EUR ergibt. Aufgrund der hohen Unterhaltspflichten fuer 3 Kinder und Ehepartner sowie des extremen Berufsrisikos als Dachdecker, welches bei Invaliditaet teure Adaptierungen von Wohnraum sehr wahrscheinlich macht, wird ein Zuschlag von 90000 EUR addiert. Dies ergibt eine empfohlene Einmalzahlung von exakt 300000 EUR.</t>
  </si>
  <si>
    <t>Das monatliche Nettoeinkommen betraegt 3000 EUR. Bei einer dauernden Erwerbsminderung wird eine gesetzliche Invaliditaetspension nach ASVG von 60 Prozent des letzten Nettoeinkommens angenommen, was 1800 EUR entspricht. Die direkte monatliche Versorgungsluecke betraegt somit 1200 EUR. Um den Verlust der Sonderzahlungen auszugleichen und einen Puffer fuer die 5-koepfige Familie zu schaffen, wird die monatliche Rente auf 1500 EUR festgelegt.</t>
  </si>
  <si>
    <t>Es wird angenommen, dass das Nettoeinkommen 14-mal jaehrlich bezogen wird. Fuer die gesetzliche Invaliditaetspension nach ASVG wird ein Wert von 60 Prozent des aktuellen Nettoeinkommens unterstellt. Es wird davon ausgegangen, dass die private Unfallrente 12-mal jaehrlich ausbezahlt wird und bei dem Beruf Dachdecker im Falle einer Invaliditaet maximale Kosten fuer barrierefreie Umbauten anfallen.</t>
  </si>
  <si>
    <t>{"baustein_1_einmalzahlung_eur":300000,"baustein_2_unfallrente_monatlich_eur":1500,"beruecksichtigte_faktoren":["Alter: 35 Jahre","Nettoeinkommen: 3.000 EUR/Monat","Berufsrisiko: Dachdecker/Geruestbauer","Unterhaltspflichten: verheiratet, 3 Kinder"],"berechnungslogik_baustein_1":"Das Jahresnettoeinkommen wird mit 14 Gehaeltern auf 42000 EUR berechnet. Als Basis wird das 5-fache Jahresnettoeinkommen angesetzt, was 210000 EUR ergibt. Aufgrund der hohen Unterhaltspflichten fuer 3 Kinder und Ehepartner sowie des extremen Berufsrisikos als Dachdecker, welches bei Invaliditaet teure Adaptierungen von Wohnraum sehr wahrscheinlich macht, wird ein Zuschlag von 90000 EUR addiert. Dies ergibt eine empfohlene Einmalzahlung von exakt 300000 EUR.","berechnungslogik_baustein_2":"Das monatliche Nettoeinkommen betraegt 3000 EUR. Bei einer dauernden Erwerbsminderung wird eine gesetzliche Invaliditaetspension nach ASVG von 60 Prozent des letzten Nettoeinkommens angenommen, was 1800 EUR entspricht. Die direkte monatliche Versorgungsluecke betraegt somit 1200 EUR. Um den Verlust der Sonderzahlungen auszugleichen und einen Puffer fuer die 5-koepfige Familie zu schaffen, wird die monatliche Rente auf 1500 EUR festgelegt.","getroffene_annahmen":"Es wird angenommen, dass das Nettoeinkommen 14-mal jaehrlich bezogen wird. Fuer die gesetzliche Invaliditaetspension nach ASVG wird ein Wert von 60 Prozent des aktuellen Nettoeinkommens unterstellt. Es wird davon ausgegangen, dass die private Unfallrente 12-mal jaehrlich ausbezahlt wird und bei dem Beruf Dachdecker im Falle einer Invaliditaet maximale Kosten fuer barrierefreie Umbauten anfallen."}</t>
  </si>
  <si>
    <t>["Alter 35 Jahre", "Monatliches Nettoeinkommen 3000 Euro", "Beruf Dachdecker bzw. Gerüstbauer", "Verheiratet mit 3 Kindern und Unterhaltspflichten"]</t>
  </si>
  <si>
    <t>Das Jahresnettoeinkommen wird mit 42000 Euro (14 mal 3000 Euro) berechnet. Für die Einmalzahlung wird das 5-fache Jahresnettoeinkommen angesetzt, um bei schwerer Invalidität (hohes Risiko als Dachdecker) teure Umbauten an Haus und Auto sowie einen Puffer für die 5-köpfige Familie zu finanzieren. 5 mal 42000 ergibt 210000 Euro.</t>
  </si>
  <si>
    <t>Das Ziel ist die Schließung der monatlichen Einkommenslücke. Bei 3000 Euro Nettoeinkommen und einer angenommenen ASVG-Invaliditätspension von 55 Prozent (1650 Euro) entsteht eine Lücke von 1350 Euro. Aufgrund der Unterhaltspflichten für 3 Kinder wird ein Sicherheitsaufschlag von 150 Euro addiert, was eine empfohlene Unfallrente von 1500 Euro ergibt.</t>
  </si>
  <si>
    <t>Annahme von 14 Monatsgehältern pro Jahr nach österreichischem Standard. Annahme einer ASVG-Invaliditätspension in Höhe von 55 Prozent des letzten Nettoeinkommens. Annahme, dass der Kunde bei dauernder Invalidität seinen körperlich anspruchsvollen Beruf vollständig aufgeben muss.</t>
  </si>
  <si>
    <t>{"baustein_1_einmalzahlung_eur":210000,"baustein_2_unfallrente_monatlich_eur":1500,"beruecksichtigte_faktoren":["Alter 35 Jahre","Monatliches Nettoeinkommen 3000 Euro","Beruf Dachdecker bzw. Gerüstbauer","Verheiratet mit 3 Kindern und Unterhaltspflichten"],"berechnungslogik_baustein_1":"Das Jahresnettoeinkommen wird mit 42000 Euro (14 mal 3000 Euro) berechnet. Für die Einmalzahlung wird das 5-fache Jahresnettoeinkommen angesetzt, um bei schwerer Invalidität (hohes Risiko als Dachdecker) teure Umbauten an Haus und Auto sowie einen Puffer für die 5-köpfige Familie zu finanzieren. 5 mal 42000 ergibt 210000 Euro.","berechnungslogik_baustein_2":"Das Ziel ist die Schließung der monatlichen Einkommenslücke. Bei 3000 Euro Nettoeinkommen und einer angenommenen ASVG-Invaliditätspension von 55 Prozent (1650 Euro) entsteht eine Lücke von 1350 Euro. Aufgrund der Unterhaltspflichten für 3 Kinder wird ein Sicherheitsaufschlag von 150 Euro addiert, was eine empfohlene Unfallrente von 1500 Euro ergibt.","getroffene_annahmen":"Annahme von 14 Monatsgehältern pro Jahr nach österreichischem Standard. Annahme einer ASVG-Invaliditätspension in Höhe von 55 Prozent des letzten Nettoeinkommens. Annahme, dass der Kunde bei dauernder Invalidität seinen körperlich anspruchsvollen Beruf vollständig aufgeben muss."}</t>
  </si>
  <si>
    <t>Die Einmalzahlung dient der Deckung von Adaptierungskosten (Wohnraum, KFZ) und als finanzieller Puffer. Bei einem hohen Berufsrisiko (Dachdecker) bedeutet eine Invaliditaet meist den sofortigen Verlust der Berufsaehigkeit. Zur Absicherung der 5-koepfigen Familie wird das 5-fache Jahresnettoeinkommen angesetzt. Berechnung: 3.000 EUR x 14 Monate = 42.000 EUR Jahresnetto. 42.000 EUR x 5 = 210.000 EUR.</t>
  </si>
  <si>
    <t>Die Unfallrente schliesst die monatliche Einkommensluecke. Das aktuelle Nettoeinkommen betraegt 3.000 EUR. Die gesetzliche ASVG-Invaliditaetspension wird mit ca. 50 Prozent des Nettoeinkommens angenommen, was 1.500 EUR entspricht. Um den Lebensstandard fuer den Ehepartner und die 3 Kinder zu sichern, muss die verbleibende Luecke von 1.500 EUR (3.000 EUR minus 1.500 EUR) vollstaendig durch die private Unfallrente gedeckt werden.</t>
  </si>
  <si>
    <t>Es wird ein oesterreichisches Gehaltsschema mit 14 Monatsgehaeltern angenommen. Die gesetzliche ASVG-Invaliditaetspension wird mit 50 Prozent des letzten Nettoeinkommens kalkuliert. Es wird angenommen, dass keine massiven privaten Ruecklagen bestehen und der volle Einkommensausfall kompensiert werden muss.</t>
  </si>
  <si>
    <t>{"baustein_1_einmalzahlung_eur":210000,"baustein_2_unfallrente_monatlich_eur":1500,"beruecksichtigte_faktoren":["Alter: 35 Jahre","Nettoeinkommen: 3.000 EUR/Monat","Berufsrisiko: Dachdecker/Geruestbauer","Unterhaltspflichten: verheiratet, 3 Kinder"],"berechnungslogik_baustein_1":"Die Einmalzahlung dient der Deckung von Adaptierungskosten (Wohnraum, KFZ) und als finanzieller Puffer. Bei einem hohen Berufsrisiko (Dachdecker) bedeutet eine Invaliditaet meist den sofortigen Verlust der Berufsaehigkeit. Zur Absicherung der 5-koepfigen Familie wird das 5-fache Jahresnettoeinkommen angesetzt. Berechnung: 3.000 EUR x 14 Monate = 42.000 EUR Jahresnetto. 42.000 EUR x 5 = 210.000 EUR.","berechnungslogik_baustein_2":"Die Unfallrente schliesst die monatliche Einkommensluecke. Das aktuelle Nettoeinkommen betraegt 3.000 EUR. Die gesetzliche ASVG-Invaliditaetspension wird mit ca. 50 Prozent des Nettoeinkommens angenommen, was 1.500 EUR entspricht. Um den Lebensstandard fuer den Ehepartner und die 3 Kinder zu sichern, muss die verbleibende Luecke von 1.500 EUR (3.000 EUR minus 1.500 EUR) vollstaendig durch die private Unfallrente gedeckt werden.","getroffene_annahmen":"Es wird ein oesterreichisches Gehaltsschema mit 14 Monatsgehaeltern angenommen. Die gesetzliche ASVG-Invaliditaetspension wird mit 50 Prozent des letzten Nettoeinkommens kalkuliert. Es wird angenommen, dass keine massiven privaten Ruecklagen bestehen und der volle Einkommensausfall kompensiert werden muss."}</t>
  </si>
  <si>
    <t>["Alter: 35 Jahre", "Nettoeinkommen: 5.500 EUR/Monat", "Berufsrisiko: Buerotaetigkeit", "Unterhaltspflichten: ledig, keine Kinder"]</t>
  </si>
  <si>
    <t>Die Einmalzahlung dient der Deckung von unfallbedingten Einmalkosten wie dem barrierefreien Umbau von Wohnraum und KFZ sowie fuer spezielle Heilbehelfe. Da der Kunde ledig ist und keine Kinder hat, muss kein Kapital zur Absicherung von Hinterbliebenen bereitgestellt werden. Der Fokus liegt rein auf der Wiederherstellung der eigenen Lebensqualitaet. Ein branchenueblicher Richtwert fuer einen umfassenden barrierefreien Umbau betraegt rund 150.000 EUR. Dieser Betrag wird als Versicherungssumme empfohlen, um im Falle einer schweren Invaliditaet alle notwendigen Adaptierungen durchfuehren zu koennen.</t>
  </si>
  <si>
    <t>Die monatliche Unfallrente dient dem Ausgleich des laufenden Einkommensverlustes bei dauernder Erwerbsminderung. Das aktuelle Nettoeinkommen betraegt 5.500 EUR. Bei einem Alter von 35 Jahren und diesem hohen Einkommen wird eine gesetzliche Invaliditaetspension (ASVG) von maximal rund 2.500 EUR netto angenommen. Die monatliche Versorgungsluecke berechnet sich aus der Differenz zwischen dem aktuellen Nettoeinkommen (5.500 EUR) und der angenommenen ASVG-Pension (2.500 EUR). Dies ergibt eine zu schliessende Luecke von 3.000 EUR. Da keine Unterhaltspflichten bestehen, reicht die exakte Deckung dieser Luecke aus, um den eigenen Lebensstandard des Kunden zu halten.</t>
  </si>
  <si>
    <t>1. Die gesetzliche ASVG-Invaliditaetspension wird mit einem fiktiven Nettowert von 2.500 EUR angesetzt, basierend auf dem hohen Einkommen, aber den mit 35 Jahren noch nicht vollstaendig erreichten Versicherungsjahren. 2. Das angegebene Nettoeinkommen von 5.500 EUR entspricht dem monatlichen Finanzbedarf zur Erhaltung des Lebensstandards. 3. Es bestehen keine weiteren privaten Absicherungen wie eine Berufsunfaehigkeitsversicherung. 4. Die Einmalzahlung wird als 100-prozentige Basis-Versicherungssumme ohne zusaetzliche Progressionsstaffel in der Berechnung betrachtet.</t>
  </si>
  <si>
    <t>{"baustein_1_einmalzahlung_eur":150000,"baustein_2_unfallrente_monatlich_eur":3000,"beruecksichtigte_faktoren":["Alter: 35 Jahre","Nettoeinkommen: 5.500 EUR/Monat","Berufsrisiko: Buerotaetigkeit","Unterhaltspflichten: ledig, keine Kinder"],"berechnungslogik_baustein_1":"Die Einmalzahlung dient der Deckung von unfallbedingten Einmalkosten wie dem barrierefreien Umbau von Wohnraum und KFZ sowie fuer spezielle Heilbehelfe. Da der Kunde ledig ist und keine Kinder hat, muss kein Kapital zur Absicherung von Hinterbliebenen bereitgestellt werden. Der Fokus liegt rein auf der Wiederherstellung der eigenen Lebensqualitaet. Ein branchenueblicher Richtwert fuer einen umfassenden barrierefreien Umbau betraegt rund 150.000 EUR. Dieser Betrag wird als Versicherungssumme empfohlen, um im Falle einer schweren Invaliditaet alle notwendigen Adaptierungen durchfuehren zu koennen.","berechnungslogik_baustein_2":"Die monatliche Unfallrente dient dem Ausgleich des laufenden Einkommensverlustes bei dauernder Erwerbsminderung. Das aktuelle Nettoeinkommen betraegt 5.500 EUR. Bei einem Alter von 35 Jahren und diesem hohen Einkommen wird eine gesetzliche Invaliditaetspension (ASVG) von maximal rund 2.500 EUR netto angenommen. Die monatliche Versorgungsluecke berechnet sich aus der Differenz zwischen dem aktuellen Nettoeinkommen (5.500 EUR) und der angenommenen ASVG-Pension (2.500 EUR). Dies ergibt eine zu schliessende Luecke von 3.000 EUR. Da keine Unterhaltspflichten bestehen, reicht die exakte Deckung dieser Luecke aus, um den eigenen Lebensstandard des Kunden zu halten.","getroffene_annahmen":"1. Die gesetzliche ASVG-Invaliditaetspension wird mit einem fiktiven Nettowert von 2.500 EUR angesetzt, basierend auf dem hohen Einkommen, aber den mit 35 Jahren noch nicht vollstaendig erreichten Versicherungsjahren. 2. Das angegebene Nettoeinkommen von 5.500 EUR entspricht dem monatlichen Finanzbedarf zur Erhaltung des Lebensstandards. 3. Es bestehen keine weiteren privaten Absicherungen wie eine Berufsunfaehigkeitsversicherung. 4. Die Einmalzahlung wird als 100-prozentige Basis-Versicherungssumme ohne zusaetzliche Progressionsstaffel in der Berechnung betrachtet."}</t>
  </si>
  <si>
    <t>["Alter: 35 Jahre", "Monatliches Nettoeinkommen: 5.500 Euro", "Beruf: Bürotätigkeit", "Familienstand: Ledig, keine Kinder, keine Unterhaltspflichten"]</t>
  </si>
  <si>
    <t>Die Einmalzahlung dient der Deckung von unfallbedingten Einmalkosten wie Wohnungs- oder PKW-Umbauten sowie Rehabilitationsmaßnahmen. Für einen 35-jährigen Single ohne Unterhaltspflichten wird als Richtwert das 4,5-fache Jahresnettoeinkommen angesetzt. Berechnung: 5.500 Euro x 12 Monate = 66.000 Euro Jahresnetto. 66.000 Euro x 4,5 = 297.000 Euro. Dieser Wert wird auf 300.000 Euro gerundet, um einen ausreichenden Puffer für den gehobenen Lebensstandard zu gewährleisten.</t>
  </si>
  <si>
    <t>Die monatliche Unfallrente soll die Einkommenslücke zwischen dem aktuellen Nettoeinkommen und der gesetzlichen Invaliditätspension (ASVG) schließen. Bei einem Nettoeinkommen von 5.500 Euro liegt das Bruttoeinkommen weit über der ASVG-Höchstbeitragsgrundlage. Die zu erwartende gesetzliche Nettopension wird auf maximal ca. 2.500 Euro geschätzt. Die Versorgungslücke beträgt somit 5.500 Euro minus 2.500 Euro = 3.000 Euro. Daher wird eine monatliche Unfallrente von 3.000 Euro empfohlen.</t>
  </si>
  <si>
    <t>Es wird angenommen, dass die gesetzliche Invaliditätspension nach ASVG bei voller Erwerbsminderung aufgrund der Kappung durch die Höchstbeitragsgrundlage maximal ca. 2.500 Euro netto beträgt. Weiterhin wird angenommen, dass keine anderweitigen privaten Vorsorgen bestehen und der aktuelle Lebensstandard vollständig abgesichert werden soll. Für unfallbedingte Einmalkosten wird ein durchschnittlicher Bedarf von 4,5 Jahresnettoeinkommen kalkuliert.</t>
  </si>
  <si>
    <t>{"baustein_1_einmalzahlung_eur":300000,"baustein_2_unfallrente_monatlich_eur":3000,"beruecksichtigte_faktoren":["Alter: 35 Jahre","Monatliches Nettoeinkommen: 5.500 Euro","Beruf: Bürotätigkeit","Familienstand: Ledig, keine Kinder, keine Unterhaltspflichten"],"berechnungslogik_baustein_1":"Die Einmalzahlung dient der Deckung von unfallbedingten Einmalkosten wie Wohnungs- oder PKW-Umbauten sowie Rehabilitationsmaßnahmen. Für einen 35-jährigen Single ohne Unterhaltspflichten wird als Richtwert das 4,5-fache Jahresnettoeinkommen angesetzt. Berechnung: 5.500 Euro x 12 Monate = 66.000 Euro Jahresnetto. 66.000 Euro x 4,5 = 297.000 Euro. Dieser Wert wird auf 300.000 Euro gerundet, um einen ausreichenden Puffer für den gehobenen Lebensstandard zu gewährleisten.","berechnungslogik_baustein_2":"Die monatliche Unfallrente soll die Einkommenslücke zwischen dem aktuellen Nettoeinkommen und der gesetzlichen Invaliditätspension (ASVG) schließen. Bei einem Nettoeinkommen von 5.500 Euro liegt das Bruttoeinkommen weit über der ASVG-Höchstbeitragsgrundlage. Die zu erwartende gesetzliche Nettopension wird auf maximal ca. 2.500 Euro geschätzt. Die Versorgungslücke beträgt somit 5.500 Euro minus 2.500 Euro = 3.000 Euro. Daher wird eine monatliche Unfallrente von 3.000 Euro empfohlen.","getroffene_annahmen":"Es wird angenommen, dass die gesetzliche Invaliditätspension nach ASVG bei voller Erwerbsminderung aufgrund der Kappung durch die Höchstbeitragsgrundlage maximal ca. 2.500 Euro netto beträgt. Weiterhin wird angenommen, dass keine anderweitigen privaten Vorsorgen bestehen und der aktuelle Lebensstandard vollständig abgesichert werden soll. Für unfallbedingte Einmalkosten wird ein durchschnittlicher Bedarf von 4,5 Jahresnettoeinkommen kalkuliert."}</t>
  </si>
  <si>
    <t>["Alter: 35 Jahre", "Nettoeinkommen: 5.500 EUR pro Monat", "Berufsrisiko: Bürotätigkeit", "Unterhaltspflichten: ledig, keine Kinder"]</t>
  </si>
  <si>
    <t>Die Einmalzahlung dient der Deckung von unfallbedingten Einmalkosten wie Wohnungs- oder PKW-Umbauten. Als branchenübliche Faustregel für einen 35-jährigen Kunden wird das Dreifache des Jahresnettoeinkommens angesetzt. Das Jahresnettoeinkommen beträgt bei 12 Monatsgehältern 66.000 EUR (12 x 5.500 EUR). Das Dreifache entspricht 198.000 EUR. Dieser Wert wird auf die marktübliche glatte Versicherungssumme von 200.000 EUR gerundet.</t>
  </si>
  <si>
    <t>Die monatliche Unfallrente dient dem Schließen der Versorgungslücke zwischen dem bisherigen Nettoeinkommen und der gesetzlichen Invaliditätspension. Das aktuelle Nettoeinkommen beträgt 5.500 EUR. Die gesetzliche Leistung aus dem ASVG wird auf Basis der Höchstbeitragsgrundlage und der bisherigen Versicherungsjahre des 35-jährigen Kunden auf pauschal 2.000 EUR netto geschätzt. Die Differenz und somit die zu schließende monatliche Lücke zur Erhaltung des Lebensstandards beträgt exakt 3.500 EUR (5.500 EUR - 2.000 EUR).</t>
  </si>
  <si>
    <t>Es wird angenommen, dass das angegebene Nettoeinkommen von 5.500 EUR zwölfmal pro Jahr anfällt (Jahresnetto 66.000 EUR). Für die gesetzliche Invaliditätspension nach ASVG wird ein fiktiver Referenzwert von 2.000 EUR netto pro Monat angenommen, da der Kunde aufgrund seines Alters noch nicht die maximalen Versicherungsjahre erreicht hat, aber ein hohes Einkommen aufweist. Es wird zudem angenommen, dass der Kunde seinen aktuellen Lebensstandard im Invaliditätsfall vollständig absichern möchte, obwohl keine Unterhaltspflichten bestehen.</t>
  </si>
  <si>
    <t>{"baustein_1_einmalzahlung_eur":200000,"baustein_2_unfallrente_monatlich_eur":3500,"beruecksichtigte_faktoren":["Alter: 35 Jahre","Nettoeinkommen: 5.500 EUR pro Monat","Berufsrisiko: Bürotätigkeit","Unterhaltspflichten: ledig, keine Kinder"],"berechnungslogik_baustein_1":"Die Einmalzahlung dient der Deckung von unfallbedingten Einmalkosten wie Wohnungs- oder PKW-Umbauten. Als branchenübliche Faustregel für einen 35-jährigen Kunden wird das Dreifache des Jahresnettoeinkommens angesetzt. Das Jahresnettoeinkommen beträgt bei 12 Monatsgehältern 66.000 EUR (12 x 5.500 EUR). Das Dreifache entspricht 198.000 EUR. Dieser Wert wird auf die marktübliche glatte Versicherungssumme von 200.000 EUR gerundet.","berechnungslogik_baustein_2":"Die monatliche Unfallrente dient dem Schließen der Versorgungslücke zwischen dem bisherigen Nettoeinkommen und der gesetzlichen Invaliditätspension. Das aktuelle Nettoeinkommen beträgt 5.500 EUR. Die gesetzliche Leistung aus dem ASVG wird auf Basis der Höchstbeitragsgrundlage und der bisherigen Versicherungsjahre des 35-jährigen Kunden auf pauschal 2.000 EUR netto geschätzt. Die Differenz und somit die zu schließende monatliche Lücke zur Erhaltung des Lebensstandards beträgt exakt 3.500 EUR (5.500 EUR - 2.000 EUR).","getroffene_annahmen":"Es wird angenommen, dass das angegebene Nettoeinkommen von 5.500 EUR zwölfmal pro Jahr anfällt (Jahresnetto 66.000 EUR). Für die gesetzliche Invaliditätspension nach ASVG wird ein fiktiver Referenzwert von 2.000 EUR netto pro Monat angenommen, da der Kunde aufgrund seines Alters noch nicht die maximalen Versicherungsjahre erreicht hat, aber ein hohes Einkommen aufweist. Es wird zudem angenommen, dass der Kunde seinen aktuellen Lebensstandard im Invaliditätsfall vollständig absichern möchte, obwohl keine Unterhaltspflichten bestehen."}</t>
  </si>
  <si>
    <t>["Alter: 35 Jahre", "Nettoeinkommen: 5.500 EUR/Monat", "Berufsrisiko: Buerotaetigkeit", "Unterhaltspflichten: verheiratet, 3 Kinder"]</t>
  </si>
  <si>
    <t>Die Einmalzahlung dient der Deckung von Umbaukosten (Wohnraum, KFZ) und Einmalaufwendungen. Als Basis wird das 4-fache Jahresnettoeinkommen herangezogen. Angenommen werden 14 Monatsgehaelter: 5.500 EUR * 14 = 77.000 EUR Jahresnetto. 77.000 EUR * 4 = 308.000 EUR. Aufgrund der grossen Familie (5 Personen) und des damit verbundenen hoeheren Wohnraumbedarfs im Falle einer rollstuhlgerechten Adaptierung wird dieser Wert als exakte und angemessene Versicherungssumme festgelegt.</t>
  </si>
  <si>
    <t>Die Unfallrente schliesst die monatliche Einkommensluecke. Das Nettoeinkommen betraegt 5.500 EUR. Die gesetzliche Invaliditaetspension (ASVG) ist durch die Hoechstbeitragsgrundlage gedeckelt und wird fuer einen 35-Jaehrigen auf maximal ca. 2.200 EUR netto geschaetzt. Die Versorgungsluecke betraegt somit 5.500 EUR minus 2.200 EUR = 3.300 EUR. Um den Lebensstandard der 5-koepfigen Familie vollstaendig abzusichern, wird die monatliche Rente exakt auf diese Luecke von 3.300 EUR festgelegt.</t>
  </si>
  <si>
    <t>Es wird angenommen, dass das Einkommen 14-mal pro Jahr bezogen wird (oesterreichischer Standard). Fuer die gesetzliche ASVG-Invaliditaetspension wird ein gedeckelter Wert von 2.200 EUR netto angenommen, da das Einkommen weit ueber der ASVG-Hoechstbeitragsgrundlage liegt. Es wird vorausgesetzt, dass der Kunde Hauptverdiener ist und der Lebensstandard der Familie (Ehepartner, 3 Kinder) im Invaliditaetsfall vollstaendig erhalten bleiben soll.</t>
  </si>
  <si>
    <t>{"baustein_1_einmalzahlung_eur":308000,"baustein_2_unfallrente_monatlich_eur":3300,"beruecksichtigte_faktoren":["Alter: 35 Jahre","Nettoeinkommen: 5.500 EUR/Monat","Berufsrisiko: Buerotaetigkeit","Unterhaltspflichten: verheiratet, 3 Kinder"],"berechnungslogik_baustein_1":"Die Einmalzahlung dient der Deckung von Umbaukosten (Wohnraum, KFZ) und Einmalaufwendungen. Als Basis wird das 4-fache Jahresnettoeinkommen herangezogen. Angenommen werden 14 Monatsgehaelter: 5.500 EUR * 14 = 77.000 EUR Jahresnetto. 77.000 EUR * 4 = 308.000 EUR. Aufgrund der grossen Familie (5 Personen) und des damit verbundenen hoeheren Wohnraumbedarfs im Falle einer rollstuhlgerechten Adaptierung wird dieser Wert als exakte und angemessene Versicherungssumme festgelegt.","berechnungslogik_baustein_2":"Die Unfallrente schliesst die monatliche Einkommensluecke. Das Nettoeinkommen betraegt 5.500 EUR. Die gesetzliche Invaliditaetspension (ASVG) ist durch die Hoechstbeitragsgrundlage gedeckelt und wird fuer einen 35-Jaehrigen auf maximal ca. 2.200 EUR netto geschaetzt. Die Versorgungsluecke betraegt somit 5.500 EUR minus 2.200 EUR = 3.300 EUR. Um den Lebensstandard der 5-koepfigen Familie vollstaendig abzusichern, wird die monatliche Rente exakt auf diese Luecke von 3.300 EUR festgelegt.","getroffene_annahmen":"Es wird angenommen, dass das Einkommen 14-mal pro Jahr bezogen wird (oesterreichischer Standard). Fuer die gesetzliche ASVG-Invaliditaetspension wird ein gedeckelter Wert von 2.200 EUR netto angenommen, da das Einkommen weit ueber der ASVG-Hoechstbeitragsgrundlage liegt. Es wird vorausgesetzt, dass der Kunde Hauptverdiener ist und der Lebensstandard der Familie (Ehepartner, 3 Kinder) im Invaliditaetsfall vollstaendig erhalten bleiben soll."}</t>
  </si>
  <si>
    <t>["Alter: 35 Jahre", "Nettoeinkommen: 5.500 Euro monatlich", "Beruf: Buerotaetigkeit", "Familienstand: Verheiratet", "Kinder: 3 (Unterhaltspflichten)"]</t>
  </si>
  <si>
    <t>Berechnungsgrundlage ist das oesterreichische Jahresnettoeinkommen unter der Annahme von 14 Monatsgehaeltern: 5.500 EUR x 14 = 77.000 EUR. Zur Abdeckung von unfallbedingten Einmalkosten (z.B. behindertengerechter Umbau von Wohnraum und KFZ) und als zusaetzliches Kapitalpolster fuer die Familie mit drei unterhaltspflichtigen Kindern wird der Faktor 5 des Jahresnettoeinkommens herangezogen. 77.000 EUR x 5 = 385.000 EUR. Dieser Wert wird auf eine glatte, marktuebliche Versicherungssumme von 400.000 EUR aufgerundet.</t>
  </si>
  <si>
    <t>Ziel ist die vollstaendige Schliessung der monatlichen Einkommensluecke bei dauernder Erwerbsunfaehigkeit. Das aktuelle Nettoeinkommen betraegt 5.500 EUR. Die gesetzliche Invaliditaetspension aus dem ASVG ist durch die Hoechstbeitragsgrundlage gedeckelt und wird fuer dieses Einkommensprofil auf maximal 2.500 EUR netto geschaetzt. Die Differenz zur Erhaltung des Lebensstandards der fuenfkoepfigen Familie betraegt somit exakt 3.000 EUR (5.500 EUR - 2.500 EUR). Daher wird eine monatliche Unfallrente von 3.000 EUR empfohlen.</t>
  </si>
  <si>
    <t>Es wird angenommen, dass das angegebene Nettoeinkommen 14-mal pro Jahr ausbezahlt wird, was dem oesterreichischen Standard entspricht. Fuer die gesetzliche Invaliditaetspension (ASVG) wird ein fiktiver Maximalwert von 2.500 EUR netto angenommen, da das Bruttoeinkommen des Kunden die ASVG-Hoechstbeitragsgrundlage deutlich ueberschreitet. Es wird vorausgesetzt, dass der Kunde der Hauptverdiener ist und der bisherige Lebensstandard fuer die Familie zur Deckung der Unterhaltspflichten vollstaendig abgesichert werden soll.</t>
  </si>
  <si>
    <t>{"baustein_1_einmalzahlung_eur":400000,"baustein_2_unfallrente_monatlich_eur":3000,"beruecksichtigte_faktoren":["Alter: 35 Jahre","Nettoeinkommen: 5.500 Euro monatlich","Beruf: Buerotaetigkeit","Familienstand: Verheiratet","Kinder: 3 (Unterhaltspflichten)"],"berechnungslogik_baustein_1":"Berechnungsgrundlage ist das oesterreichische Jahresnettoeinkommen unter der Annahme von 14 Monatsgehaeltern: 5.500 EUR x 14 = 77.000 EUR. Zur Abdeckung von unfallbedingten Einmalkosten (z.B. behindertengerechter Umbau von Wohnraum und KFZ) und als zusaetzliches Kapitalpolster fuer die Familie mit drei unterhaltspflichtigen Kindern wird der Faktor 5 des Jahresnettoeinkommens herangezogen. 77.000 EUR x 5 = 385.000 EUR. Dieser Wert wird auf eine glatte, marktuebliche Versicherungssumme von 400.000 EUR aufgerundet.","berechnungslogik_baustein_2":"Ziel ist die vollstaendige Schliessung der monatlichen Einkommensluecke bei dauernder Erwerbsunfaehigkeit. Das aktuelle Nettoeinkommen betraegt 5.500 EUR. Die gesetzliche Invaliditaetspension aus dem ASVG ist durch die Hoechstbeitragsgrundlage gedeckelt und wird fuer dieses Einkommensprofil auf maximal 2.500 EUR netto geschaetzt. Die Differenz zur Erhaltung des Lebensstandards der fuenfkoepfigen Familie betraegt somit exakt 3.000 EUR (5.500 EUR - 2.500 EUR). Daher wird eine monatliche Unfallrente von 3.000 EUR empfohlen.","getroffene_annahmen":"Es wird angenommen, dass das angegebene Nettoeinkommen 14-mal pro Jahr ausbezahlt wird, was dem oesterreichischen Standard entspricht. Fuer die gesetzliche Invaliditaetspension (ASVG) wird ein fiktiver Maximalwert von 2.500 EUR netto angenommen, da das Bruttoeinkommen des Kunden die ASVG-Hoechstbeitragsgrundlage deutlich ueberschreitet. Es wird vorausgesetzt, dass der Kunde der Hauptverdiener ist und der bisherige Lebensstandard fuer die Familie zur Deckung der Unterhaltspflichten vollstaendig abgesichert werden soll."}</t>
  </si>
  <si>
    <t>["Alter: 35 Jahre", "Nettoeinkommen: 5.500 EUR/Monat", "Berufsrisiko: Bürotätigkeit", "Unterhaltspflichten: verheiratet, 3 Kinder"]</t>
  </si>
  <si>
    <t>Die Einmalzahlung dient der Deckung von unfallbedingten Einmalkosten wie dem barrierefreien Umbau von Haus oder Wohnung, der Anschaffung eines behindertengerechten KFZ sowie speziellen Therapien. Bei einem Alter von 35 Jahren und einer 5-köpfigen Familie ist der Kapitalbedarf im Falle einer schweren Invalidität hoch. Als Berechnungsbasis wird das 6-fache Jahresnettoeinkommen herangezogen: 5.500 EUR mal 12 Monate ergibt 66.000 EUR Jahresnetto. 66.000 EUR mal 6 ergibt 396.000 EUR. Dieser Wert wird auf 400.000 EUR gerundet, um einen ausreichenden Puffer für familienspezifische Anpassungen zu schaffen.</t>
  </si>
  <si>
    <t>Die Unfallrente soll die monatliche Einkommenslücke zwischen dem bisherigen Nettoeinkommen und der gesetzlichen Invaliditätspension nach dem ASVG schließen. Das aktuelle Nettoeinkommen beträgt 5.500 EUR. Aufgrund des Alters von 35 Jahren und der damit verbundenen begrenzten Versicherungsmonate wird eine gesetzliche Invaliditätspension von pauschal 2.000 EUR netto angenommen, wobei Zurechnungszeiten berücksichtigt sind. Die Versorgungslücke berechnet sich somit aus 5.500 EUR abzüglich 2.000 EUR ASVG-Pension. Dies ergibt einen abzusichernden monatlichen Bedarf von 3.500 EUR, um den Lebensstandard der Familie mit 3 Kindern und Ehepartner dauerhaft zu halten.</t>
  </si>
  <si>
    <t>Es wird angenommen, dass die gesetzliche Invaliditätspension (ASVG) bei voller Erwerbsminderung für den 35-jährigen Kunden ca. 2.000 EUR netto pro Monat beträgt. Weiterhin wird angenommen, dass das angegebene Nettoeinkommen von 5.500 EUR den aktuellen Lebensstandard der Familie widerspiegelt und im Invaliditätsfall vollständig substituiert werden muss, da Unterhaltspflichten für Ehepartner und 3 Kinder bestehen. Für die Einmalzahlung wird ein Faktor von 6 Jahresnettoeinkommen als adäquater Richtwert für den Umbau von Wohnraum und KFZ bei einer 5-köpfigen Familie angesetzt.</t>
  </si>
  <si>
    <t>{"baustein_1_einmalzahlung_eur": 400000, "baustein_2_unfallrente_monatlich_eur": 3500, "beruecksichtigte_faktoren": ["Alter: 35 Jahre", "Nettoeinkommen: 5.500 EUR/Monat", "Berufsrisiko: Bürotätigkeit", "Unterhaltspflichten: verheiratet, 3 Kinder"], "berechnungslogik_baustein_1": "Die Einmalzahlung dient der Deckung von unfallbedingten Einmalkosten wie dem barrierefreien Umbau von Haus oder Wohnung, der Anschaffung eines behindertengerechten KFZ sowie speziellen Therapien. Bei einem Alter von 35 Jahren und einer 5-köpfigen Familie ist der Kapitalbedarf im Falle einer schweren Invalidität hoch. Als Berechnungsbasis wird das 6-fache Jahresnettoeinkommen herangezogen: 5.500 EUR mal 12 Monate ergibt 66.000 EUR Jahresnetto. 66.000 EUR mal 6 ergibt 396.000 EUR. Dieser Wert wird auf 400.000 EUR gerundet, um einen ausreichenden Puffer für familienspezifische Anpassungen zu schaffen.", "berechnungslogik_baustein_2": "Die Unfallrente soll die monatliche Einkommenslücke zwischen dem bisherigen Nettoeinkommen und der gesetzlichen Invaliditätspension nach dem ASVG schließen. Das aktuelle Nettoeinkommen beträgt 5.500 EUR. Aufgrund des Alters von 35 Jahren und der damit verbundenen begrenzten Versicherungsmonate wird eine gesetzliche Invaliditätspension von pauschal 2.000 EUR netto angenommen, wobei Zurechnungszeiten berücksichtigt sind. Die Versorgungslücke berechnet sich somit aus 5.500 EUR abzüglich 2.000 EUR ASVG-Pension. Dies ergibt einen abzusichernden monatlichen Bedarf von 3.500 EUR, um den Lebensstandard der Familie mit 3 Kindern und Ehepartner dauerhaft zu halten.", "getroffene_annahmen": "Es wird angenommen, dass die gesetzliche Invaliditätspension (ASVG) bei voller Erwerbsminderung für den 35-jährigen Kunden ca. 2.000 EUR netto pro Monat beträgt. Weiterhin wird angenommen, dass das angegebene Nettoeinkommen von 5.500 EUR den aktuellen Lebensstandard der Familie widerspiegelt und im Invaliditätsfall vollständig substituiert werden muss, da Unterhaltspflichten für Ehepartner und 3 Kinder bestehen. Für die Einmalzahlung wird ein Faktor von 6 Jahresnettoeinkommen als adäquater Richtwert für den Umbau von Wohnraum und KFZ bei einer 5-köpfigen Familie angesetzt."}</t>
  </si>
  <si>
    <t>["Alter: 35 Jahre", "Nettoeinkommen: 5.500 EUR/Monat", "Berufsrisiko: Handwerker", "Unterhaltspflichten: ledig, keine Kinder"]</t>
  </si>
  <si>
    <t>Das Jahresnettoeinkommen betraegt bei 14 Gehaeltern in Oesterreich 77.000 EUR (5.500 EUR x 14). Fuer einen 35-jaehrigen Handwerker wird das 5-fache Jahresnettoeinkommen als Basis herangezogen, da bei koerperlich arbeitenden Berufen im Falle einer Invaliditaet hohe Kosten fuer Umschulungen, barrierefreie Umbauten (Wohnung/KFZ) und Rehabilitation anfallen. 77.000 EUR x 5 = 385.000 EUR. Dieser Wert wird auf eine marktuebliche Versicherungssumme von 400.000 EUR gerundet.</t>
  </si>
  <si>
    <t>Ziel ist die Schliessung der monatlichen Versorgungsluecke. Das aktuelle Nettoeinkommen liegt bei 5.500 EUR. Da das Einkommen weit ueber der ASVG-Hoechstbeitragsgrundlage liegt, wird die gesetzliche Invaliditaetspension auf ca. 2.200 EUR netto geschaetzt. Die Differenz zur Erhaltung des Lebensstandards betraegt somit 3.300 EUR (5.500 EUR - 2.200 EUR). Da keine Unterhaltspflichten bestehen, ist kein zusaetzlicher Puffer fuer Familienangehoerige notwendig. Die empfohlene Unfallrente entspricht exakt dieser Luecke von 3.300 EUR.</t>
  </si>
  <si>
    <t>Es wird angenommen, dass das Nettoeinkommen 14-mal pro Jahr ausbezahlt wird (oesterreichischer Standard). Fuer die gesetzliche Invaliditaetspension (ASVG) wird ein gedeckelter Wert von ca. 2.200 EUR netto angenommen, da das Bruttoeinkommen des Kunden die Hoechstbeitragsgrundlage deutlich uebersteigt. Es wird vorausgesetzt, dass der Kunde seinen aktuellen Lebensstandard im Invaliditaetsfall vollstaendig absichern moechte.</t>
  </si>
  <si>
    <t>{"baustein_1_einmalzahlung_eur": 400000, "baustein_2_unfallrente_monatlich_eur": 3300, "beruecksichtigte_faktoren": ["Alter: 35 Jahre", "Nettoeinkommen: 5.500 EUR/Monat", "Berufsrisiko: Handwerker", "Unterhaltspflichten: ledig, keine Kinder"], "berechnungslogik_baustein_1": "Das Jahresnettoeinkommen betraegt bei 14 Gehaeltern in Oesterreich 77.000 EUR (5.500 EUR x 14). Fuer einen 35-jaehrigen Handwerker wird das 5-fache Jahresnettoeinkommen als Basis herangezogen, da bei koerperlich arbeitenden Berufen im Falle einer Invaliditaet hohe Kosten fuer Umschulungen, barrierefreie Umbauten (Wohnung/KFZ) und Rehabilitation anfallen. 77.000 EUR x 5 = 385.000 EUR. Dieser Wert wird auf eine marktuebliche Versicherungssumme von 400.000 EUR gerundet.", "berechnungslogik_baustein_2": "Ziel ist die Schliessung der monatlichen Versorgungsluecke. Das aktuelle Nettoeinkommen liegt bei 5.500 EUR. Da das Einkommen weit ueber der ASVG-Hoechstbeitragsgrundlage liegt, wird die gesetzliche Invaliditaetspension auf ca. 2.200 EUR netto geschaetzt. Die Differenz zur Erhaltung des Lebensstandards betraegt somit 3.300 EUR (5.500 EUR - 2.200 EUR). Da keine Unterhaltspflichten bestehen, ist kein zusaetzlicher Puffer fuer Familienangehoerige notwendig. Die empfohlene Unfallrente entspricht exakt dieser Luecke von 3.300 EUR.", "getroffene_annahmen": "Es wird angenommen, dass das Nettoeinkommen 14-mal pro Jahr ausbezahlt wird (oesterreichischer Standard). Fuer die gesetzliche Invaliditaetspension (ASVG) wird ein gedeckelter Wert von ca. 2.200 EUR netto angenommen, da das Bruttoeinkommen des Kunden die Hoechstbeitragsgrundlage deutlich uebersteigt. Es wird vorausgesetzt, dass der Kunde seinen aktuellen Lebensstandard im Invaliditaetsfall vollstaendig absichern moechte."}</t>
  </si>
  <si>
    <t>["Alter: 35 Jahre", "Monatliches Nettoeinkommen: 5.500 Euro", "Beruf: Handwerker", "Familienstand: Ledig, keine Kinder, keine Unterhaltspflichten"]</t>
  </si>
  <si>
    <t>Das Jahresnettoeinkommen wird mit 14 Monatsgehaeltern berechnet (5.500 EUR x 14 = 77.000 EUR). Aufgrund der koerperlich anspruchsvollen Taetigkeit als Handwerker wird ein Faktor von knapp 4 Jahresnettoeinkommen angesetzt, um Kosten fuer Umschulungen, barrierefreie Umbauten und Hilfsmittel umfassend abzudecken. Dies ergibt 308.000 EUR, was auf 300.000 EUR gerundet wird.</t>
  </si>
  <si>
    <t>Das Nettoeinkommen betraegt 5.500 EUR. Da dieses Einkommen die ASVG-Hoechstbeitragsgrundlage deutlich ueberschreitet, wird die gesetzliche Invaliditaetspension auf maximal ca. 2.500 EUR netto geschaetzt. Die Differenz zwischen dem aktuellen Nettoeinkommen und der geschaetzten gesetzlichen Leistung ergibt eine monatliche Versorgungsluecke von 3.000 EUR (5.500 EUR - 2.500 EUR).</t>
  </si>
  <si>
    <t>Es wird angenommen, dass das Gehalt 14-mal jaehrlich ausbezahlt wird. Die gesetzliche ASVG-Invaliditaetspension wird aufgrund der Hoechstbeitragsgrundlage mit ca. 2.500 EUR netto angenommen. Es wird vorausgesetzt, dass der Kunde seinen aktuellen Lebensstandard vollstaendig absichern moechte und keine anderweitigen privaten Rentenversicherungen bestehen.</t>
  </si>
  <si>
    <t>{"baustein_1_einmalzahlung_eur":300000,"baustein_2_unfallrente_monatlich_eur":3000,"beruecksichtigte_faktoren":["Alter: 35 Jahre","Monatliches Nettoeinkommen: 5.500 Euro","Beruf: Handwerker","Familienstand: Ledig, keine Kinder, keine Unterhaltspflichten"],"berechnungslogik_baustein_1":"Das Jahresnettoeinkommen wird mit 14 Monatsgehaeltern berechnet (5.500 EUR x 14 = 77.000 EUR). Aufgrund der koerperlich anspruchsvollen Taetigkeit als Handwerker wird ein Faktor von knapp 4 Jahresnettoeinkommen angesetzt, um Kosten fuer Umschulungen, barrierefreie Umbauten und Hilfsmittel umfassend abzudecken. Dies ergibt 308.000 EUR, was auf 300.000 EUR gerundet wird.","berechnungslogik_baustein_2":"Das Nettoeinkommen betraegt 5.500 EUR. Da dieses Einkommen die ASVG-Hoechstbeitragsgrundlage deutlich ueberschreitet, wird die gesetzliche Invaliditaetspension auf maximal ca. 2.500 EUR netto geschaetzt. Die Differenz zwischen dem aktuellen Nettoeinkommen und der geschaetzten gesetzlichen Leistung ergibt eine monatliche Versorgungsluecke von 3.000 EUR (5.500 EUR - 2.500 EUR).","getroffene_annahmen":"Es wird angenommen, dass das Gehalt 14-mal jaehrlich ausbezahlt wird. Die gesetzliche ASVG-Invaliditaetspension wird aufgrund der Hoechstbeitragsgrundlage mit ca. 2.500 EUR netto angenommen. Es wird vorausgesetzt, dass der Kunde seinen aktuellen Lebensstandard vollstaendig absichern moechte und keine anderweitigen privaten Rentenversicherungen bestehen."}</t>
  </si>
  <si>
    <t>["Alter: 35 Jahre", "Nettoeinkommen: 5.500 EUR pro Monat", "Berufsrisiko: Handwerker", "Unterhaltspflichten: ledig, keine Kinder"]</t>
  </si>
  <si>
    <t>Die Einmalzahlung dient der Deckung von unfallbedingten Einmalkosten wie Wohnungs- oder KFZ-Umbau, speziellen Hilfsmitteln und Umschulungen. Als Basis wird das 3-fache oesterreichische Jahresnettoeinkommen herangezogen. Bei 14 Monatsgehaeltern betraegt das Jahresnetto 77.000 EUR (5.500 EUR x 14). Das 3-fache Jahresnetto ergibt 231.000 EUR. Aufgrund der koerperlichen Taetigkeit als Handwerker ist bei einer dauernden Invaliditaet ein vollstaendiger Berufswechsel mit kostenintensiven Umschulungsmassnahmen sehr wahrscheinlich. Daher wird ein Risiko- und Umschulungspuffer von 69.000 EUR addiert, was zu einer empfohlenen Einmalzahlung von exakt 300.000 EUR fuehrt.</t>
  </si>
  <si>
    <t>Die monatliche Unfallrente dient dem dauerhaften Ausgleich des laufenden Einkommensverlustes. Das aktuelle Nettoeinkommen betraegt 5.500 EUR. Da dieses Einkommen weit ueber der ASVG-Hoechstbeitragsgrundlage liegt, ist die gesetzliche Invaliditaetspension stark gedeckelt. Es wird eine maximale gesetzliche Leistung von 2.500 EUR netto angenommen. Die monatliche Versorgungsluecke ergibt sich aus der Differenz zwischen dem aktuellen Nettoeinkommen und der erwarteten gesetzlichen Pension (5.500 EUR - 2.500 EUR = 3.000 EUR). Da der Kunde ledig ist und keine Kinder hat, muss ausschliesslich der Eigenbedarf zur Erhaltung des Lebensstandards gedeckt werden. Die empfohlene Rente betraegt somit exakt 3.000 EUR.</t>
  </si>
  <si>
    <t>Es wird angenommen, dass das angegebene Nettoeinkommen in Oesterreich 14-mal pro Jahr ausbezahlt wird. Fuer die gesetzliche ASVG-Invaliditaetspension wird ein pauschalierter, gedeckelter Wert von 2.500 EUR netto angenommen, da das korrespondierende Bruttoeinkommen die gesetzliche Hoechstbeitragsgrundlage deutlich ueberschreitet. Zudem wird vorausgesetzt, dass keine anderweitige private Absicherung (wie etwa eine Berufsunfaehigkeitsversicherung) besteht, welche die Einkommensluecke bereits teilweise schliesst.</t>
  </si>
  <si>
    <t>{
  "baustein_1_einmalzahlung_eur": 300000,
  "baustein_2_unfallrente_monatlich_eur": 3000,
  "beruecksichtigte_faktoren": [
    "Alter: 35 Jahre",
    "Nettoeinkommen: 5.500 EUR pro Monat",
    "Berufsrisiko: Handwerker",
    "Unterhaltspflichten: ledig, keine Kinder"
  ],
  "berechnungslogik_baustein_1": "Die Einmalzahlung dient der Deckung von unfallbedingten Einmalkosten wie Wohnungs- oder KFZ-Umbau, speziellen Hilfsmitteln und Umschulungen. Als Basis wird das 3-fache oesterreichische Jahresnettoeinkommen herangezogen. Bei 14 Monatsgehaeltern betraegt das Jahresnetto 77.000 EUR (5.500 EUR x 14). Das 3-fache Jahresnetto ergibt 231.000 EUR. Aufgrund der koerperlichen Taetigkeit als Handwerker ist bei einer dauernden Invaliditaet ein vollstaendiger Berufswechsel mit kostenintensiven Umschulungsmassnahmen sehr wahrscheinlich. Daher wird ein Risiko- und Umschulungspuffer von 69.000 EUR addiert, was zu einer empfohlenen Einmalzahlung von exakt 300.000 EUR fuehrt.",
  "berechnungslogik_baustein_2": "Die monatliche Unfallrente dient dem dauerhaften Ausgleich des laufenden Einkommensverlustes. Das aktuelle Nettoeinkommen betraegt 5.500 EUR. Da dieses Einkommen weit ueber der ASVG-Hoechstbeitragsgrundlage liegt, ist die gesetzliche Invaliditaetspension stark gedeckelt. Es wird eine maximale gesetzliche Leistung von 2.500 EUR netto angenommen. Die monatliche Versorgungsluecke ergibt sich aus der Differenz zwischen dem aktuellen Nettoeinkommen und der erwarteten gesetzlichen Pension (5.500 EUR - 2.500 EUR = 3.000 EUR). Da der Kunde ledig ist und keine Kinder hat, muss ausschliesslich der Eigenbedarf zur Erhaltung des Lebensstandards gedeckt werden. Die empfohlene Rente betraegt somit exakt 3.000 EUR.",
  "getroffene_annahmen": "Es wird angenommen, dass das angegebene Nettoeinkommen in Oesterreich 14-mal pro Jahr ausbezahlt wird. Fuer die gesetzliche ASVG-Invaliditaetspension wird ein pauschalierter, gedeckelter Wert von 2.500 EUR netto angenommen, da das korrespondierende Bruttoeinkommen die gesetzliche Hoechstbeitragsgrundlage deutlich ueberschreitet. Zudem wird vorausgesetzt, dass keine anderweitige private Absicherung (wie etwa eine Berufsunfaehigkeitsversicherung) besteht, welche die Einkommensluecke bereits teilweise schliesst."
}</t>
  </si>
  <si>
    <t>["Alter: 35 Jahre", "Nettoeinkommen: 5.500 EUR pro Monat", "Berufsrisiko: Handwerker", "Unterhaltspflichten: verheiratet, 3 Kinder"]</t>
  </si>
  <si>
    <t>Die Einmalzahlung deckt hohe Initialkosten wie behindertengerechte Umbauten oder Umschulungen ab, was fuer einen Handwerker bei Invaliditaet zwingend erforderlich ist. Die Berechnung basiert auf dem 5-fachen Jahresnettoeinkommen. Bei 14 Monatsgehaeltern zu je 5.500 EUR betraegt das Jahresnetto 77.000 EUR. Multipliziert mit dem Faktor 5 ergibt dies 385.000 EUR. Zur zusaetzlichen Absicherung der grossen Familie mit 3 Kindern wird die Summe auf 400.000 EUR festgelegt.</t>
  </si>
  <si>
    <t>Die Unfallrente schliesst die monatliche Versorgungsluecke. Das Nettoeinkommen von 5.500 EUR liegt deutlich ueber der ASVG-Hoechstbeitragsgrundlage. Die zu erwartende gesetzliche Invaliditaetspension wird auf 2.200 EUR netto geschaetzt. Die Differenz von 3.300 EUR muss privat abgesichert werden, um den Lebensstandard der Familie mit 3 Kindern und Ehepartner ohne Einschraenkungen aufrechtzuerhalten.</t>
  </si>
  <si>
    <t>Angenommen wird der Bezug von 14 Monatsgehaeltern pro Jahr nach oesterreichischem Standard. Die gesetzliche ASVG-Invaliditaetspension wird aufgrund des Alters von 35 Jahren und der Deckelung durch die Hoechstbeitragsgrundlage auf 2.200 EUR netto geschaetzt. Es wird vorausgesetzt, dass das volle Nettoeinkommen zur Erhaltung des Lebensstandards der fuenfkoepfigen Familie benoetigt wird.</t>
  </si>
  <si>
    <t>{"baustein_1_einmalzahlung_eur":400000,"baustein_2_unfallrente_monatlich_eur":3300,"beruecksichtigte_faktoren":["Alter: 35 Jahre","Nettoeinkommen: 5.500 EUR pro Monat","Berufsrisiko: Handwerker","Unterhaltspflichten: verheiratet, 3 Kinder"],"berechnungslogik_baustein_1":"Die Einmalzahlung deckt hohe Initialkosten wie behindertengerechte Umbauten oder Umschulungen ab, was fuer einen Handwerker bei Invaliditaet zwingend erforderlich ist. Die Berechnung basiert auf dem 5-fachen Jahresnettoeinkommen. Bei 14 Monatsgehaeltern zu je 5.500 EUR betraegt das Jahresnetto 77.000 EUR. Multipliziert mit dem Faktor 5 ergibt dies 385.000 EUR. Zur zusaetzlichen Absicherung der grossen Familie mit 3 Kindern wird die Summe auf 400.000 EUR festgelegt.","berechnungslogik_baustein_2":"Die Unfallrente schliesst die monatliche Versorgungsluecke. Das Nettoeinkommen von 5.500 EUR liegt deutlich ueber der ASVG-Hoechstbeitragsgrundlage. Die zu erwartende gesetzliche Invaliditaetspension wird auf 2.200 EUR netto geschaetzt. Die Differenz von 3.300 EUR muss privat abgesichert werden, um den Lebensstandard der Familie mit 3 Kindern und Ehepartner ohne Einschraenkungen aufrechtzuerhalten.","getroffene_annahmen":"Angenommen wird der Bezug von 14 Monatsgehaeltern pro Jahr nach oesterreichischem Standard. Die gesetzliche ASVG-Invaliditaetspension wird aufgrund des Alters von 35 Jahren und der Deckelung durch die Hoechstbeitragsgrundlage auf 2.200 EUR netto geschaetzt. Es wird vorausgesetzt, dass das volle Nettoeinkommen zur Erhaltung des Lebensstandards der fuenfkoepfigen Familie benoetigt wird."}</t>
  </si>
  <si>
    <t>["Alter: 35 Jahre", "Monatliches Nettoeinkommen: 5.500 Euro", "Beruf: Handwerker (hohes Risiko fuer unfallbedingte Berufsunfaehigkeit)", "Familienstand: Verheiratet, 3 Kinder (hohe Unterhaltspflichten)"]</t>
  </si>
  <si>
    <t>Die Einmalzahlung setzt sich aus drei Komponenten zusammen: 150.000 Euro fuer unfallbedingte Einmalkosten wie den behindertengerechten Umbau von Wohnung und KFZ. Hinzu kommen drei Jahresnettoeinkommen als finanzieller Puffer fuer die Familie, berechnet als 3 mal 14 Monate mal 5.500 Euro, was 231.000 Euro ergibt. Zusaetzlich wird ein Vorsorgekapital von 40.000 Euro pro Kind angesetzt, was bei drei Kindern 120.000 Euro entspricht. Die exakte Summe von 501.000 Euro wurde auf 500.000 Euro gerundet.</t>
  </si>
  <si>
    <t>Die Unfallrente dient dem Schliessen der monatlichen Versorgungsluecke. Das Nettoeinkommen von 5.500 Euro liegt deutlich ueber der ASVG-Hoechstbeitragsgrundlage. Die gesetzliche Invaliditaetspension wird auf maximal 2.200 Euro netto geschaetzt. Um den Lebensstandard der Familie zu sichern und alle Unterhaltspflichten fuer die drei Kinder und die Ehefrau zu erfuellen, wird die Differenz zwischen dem aktuellen Nettoeinkommen und der angenommenen gesetzlichen Pension berechnet: 5.500 Euro minus 2.200 Euro ergibt eine benoetigte monatliche Rente von 3.300 Euro.</t>
  </si>
  <si>
    <t>Es wird angenommen, dass das Gehalt 14-mal jaehrlich ausbezahlt wird. Die gesetzliche ASVG-Invaliditaetspension wird aufgrund der Kappe durch die Hoechstbeitragsgrundlage mit 2.200 Euro netto angenommen. Es wird unterstellt, dass der Kunde der Hauptverdiener ist und keine anderweitigen passiven Einkommensquellen bestehen.</t>
  </si>
  <si>
    <t>{"baustein_1_einmalzahlung_eur": 500000, "baustein_2_unfallrente_monatlich_eur": 3300, "beruecksichtigte_faktoren": ["Alter: 35 Jahre", "Monatliches Nettoeinkommen: 5.500 Euro", "Beruf: Handwerker (hohes Risiko fuer unfallbedingte Berufsunfaehigkeit)", "Familienstand: Verheiratet, 3 Kinder (hohe Unterhaltspflichten)"], "berechnungslogik_baustein_1": "Die Einmalzahlung setzt sich aus drei Komponenten zusammen: 150.000 Euro fuer unfallbedingte Einmalkosten wie den behindertengerechten Umbau von Wohnung und KFZ. Hinzu kommen drei Jahresnettoeinkommen als finanzieller Puffer fuer die Familie, berechnet als 3 mal 14 Monate mal 5.500 Euro, was 231.000 Euro ergibt. Zusaetzlich wird ein Vorsorgekapital von 40.000 Euro pro Kind angesetzt, was bei drei Kindern 120.000 Euro entspricht. Die exakte Summe von 501.000 Euro wurde auf 500.000 Euro gerundet.", "berechnungslogik_baustein_2": "Die Unfallrente dient dem Schliessen der monatlichen Versorgungsluecke. Das Nettoeinkommen von 5.500 Euro liegt deutlich ueber der ASVG-Hoechstbeitragsgrundlage. Die gesetzliche Invaliditaetspension wird auf maximal 2.200 Euro netto geschaetzt. Um den Lebensstandard der Familie zu sichern und alle Unterhaltspflichten fuer die drei Kinder und die Ehefrau zu erfuellen, wird die Differenz zwischen dem aktuellen Nettoeinkommen und der angenommenen gesetzlichen Pension berechnet: 5.500 Euro minus 2.200 Euro ergibt eine benoetigte monatliche Rente von 3.300 Euro.", "getroffene_annahmen": "Es wird angenommen, dass das Gehalt 14-mal jaehrlich ausbezahlt wird. Die gesetzliche ASVG-Invaliditaetspension wird aufgrund der Kappe durch die Hoechstbeitragsgrundlage mit 2.200 Euro netto angenommen. Es wird unterstellt, dass der Kunde der Hauptverdiener ist und keine anderweitigen passiven Einkommensquellen bestehen."}</t>
  </si>
  <si>
    <t>["Alter: 35 Jahre", "Nettoeinkommen: 5.500 EUR/Monat", "Berufsrisiko: Handwerker", "Unterhaltspflichten: verheiratet, 3 Kinder"]</t>
  </si>
  <si>
    <t>Das oesterreichische Jahresnettoeinkommen betraegt bei 14 Bezuegen 77.000 EUR (5.500 EUR x 14). Fuer einen 35-jaehrigen Familienvater mit 3 Kindern und koerperlichem Beruf (Handwerker) wird das 5-fache Jahresnettoeinkommen als Einmalzahlung empfohlen, um Umbaukosten (Barrierefreiheit), Umschulungen und erste Einkommenseinbussen abzufangen. 77.000 EUR x 5 = 385.000 EUR. Dieser Wert wurde zur Schaffung eines ausreichenden Sicherheitspolsters auf 400.000 EUR gerundet.</t>
  </si>
  <si>
    <t>Das monatliche Nettoeinkommen betraegt 5.500 EUR. Bei einer dauernden Invaliditaet greift die ASVG-Invaliditaetspension. Da das Einkommen weit ueber der ASVG-Hoechstbeitragsgrundlage liegt, wird die gesetzliche Pension stark gedeckelt sein und erfahrungsgemaess bei maximal ca. 2.000 EUR netto liegen. Um den Lebensstandard der 5-koepfigen Familie zu halten, muss die monatliche Versorgungsluecke von 3.500 EUR (5.500 EUR - 2.000 EUR) vollstaendig durch die private Unfallrente geschlossen werden.</t>
  </si>
  <si>
    <t>Es wird angenommen, dass das angegebene Nettoeinkommen 14-mal pro Jahr ausbezahlt wird (oesterreichischer Standard). Die gesetzliche ASVG-Invaliditaetspension wird aufgrund der geltenden Hoechstbeitragsgrundlage mit pauschal 2.000 EUR netto pro Monat angenommen. Es wird vorausgesetzt, dass keine anderweitigen privaten Absicherungen (wie z.B. eine Berufsunfaehigkeitsversicherung) bestehen, welche die Versorgungsluecke bereits teilweise schliessen.</t>
  </si>
  <si>
    <t>{"baustein_1_einmalzahlung_eur":400000,"baustein_2_unfallrente_monatlich_eur":3500,"beruecksichtigte_faktoren":["Alter: 35 Jahre","Nettoeinkommen: 5.500 EUR/Monat","Berufsrisiko: Handwerker","Unterhaltspflichten: verheiratet, 3 Kinder"],"berechnungslogik_baustein_1":"Das oesterreichische Jahresnettoeinkommen betraegt bei 14 Bezuegen 77.000 EUR (5.500 EUR x 14). Fuer einen 35-jaehrigen Familienvater mit 3 Kindern und koerperlichem Beruf (Handwerker) wird das 5-fache Jahresnettoeinkommen als Einmalzahlung empfohlen, um Umbaukosten (Barrierefreiheit), Umschulungen und erste Einkommenseinbussen abzufangen. 77.000 EUR x 5 = 385.000 EUR. Dieser Wert wurde zur Schaffung eines ausreichenden Sicherheitspolsters auf 400.000 EUR gerundet.","berechnungslogik_baustein_2":"Das monatliche Nettoeinkommen betraegt 5.500 EUR. Bei einer dauernden Invaliditaet greift die ASVG-Invaliditaetspension. Da das Einkommen weit ueber der ASVG-Hoechstbeitragsgrundlage liegt, wird die gesetzliche Pension stark gedeckelt sein und erfahrungsgemaess bei maximal ca. 2.000 EUR netto liegen. Um den Lebensstandard der 5-koepfigen Familie zu halten, muss die monatliche Versorgungsluecke von 3.500 EUR (5.500 EUR - 2.000 EUR) vollstaendig durch die private Unfallrente geschlossen werden.","getroffene_annahmen":"Es wird angenommen, dass das angegebene Nettoeinkommen 14-mal pro Jahr ausbezahlt wird (oesterreichischer Standard). Die gesetzliche ASVG-Invaliditaetspension wird aufgrund der geltenden Hoechstbeitragsgrundlage mit pauschal 2.000 EUR netto pro Monat angenommen. Es wird vorausgesetzt, dass keine anderweitigen privaten Absicherungen (wie z.B. eine Berufsunfaehigkeitsversicherung) bestehen, welche die Versorgungsluecke bereits teilweise schliessen."}</t>
  </si>
  <si>
    <t>["Alter: 35 Jahre", "Nettoeinkommen: 5.500 EUR/Monat", "Berufsrisiko: Dachdecker/Geruestbauer", "Unterhaltspflichten: ledig, keine Kinder"]</t>
  </si>
  <si>
    <t>Die Einmalzahlung dient der Deckung von unfallbedingten Einmalkosten wie barrierefreien Umbauten oder medizinischen Hilfsmitteln. Als Basis wird das rund 4-fache Jahresnettoeinkommen herangezogen. Bei 14 Monatsgehaeltern zu je 5.500 EUR ergibt das ein Jahresnetto von 77.000 EUR. Das 4-fache entspricht 308.000 EUR. Aufgrund des extrem hohen Berufsrisikos als Dachdecker/Geruestbauer (Absturzgefahr mit potenziell schweren motorischen Einschraenkungen) wird ein hoher Kapitalbedarf fuer Umbauten angesetzt. Da der Kunde ledig ist und keine Kinder hat, muss kein Kapital fuer die Absicherung von Hinterbliebenen vorgehalten werden. Der errechnete Betrag wird auf eine marktuebliche, glatte Versicherungssumme von 300.000 EUR gerundet.</t>
  </si>
  <si>
    <t>Die monatliche Unfallrente dient dem Schliessen der Einkommensluecke bei dauernder Invaliditaet. Das aktuelle Nettoeinkommen betraegt 5.500 EUR. Bei voller Erwerbsminderung greift die gesetzliche Invaliditaetspension (ASVG). Aufgrund des Alters von 35 Jahren und der ASVG-Hoechstbeitragsgrundlage wird eine monatliche Nettopension von rund 2.500 EUR angenommen. Die Differenz zum bisherigen Einkommen betraegt somit 3.000 EUR. Um den Lebensstandard als Alleinstehender vollstaendig zu erhalten und moegliche laufende Mehrkosten durch die Invaliditaet zu decken, wird eine Rente in Hoehe der exakten Versorgungsluecke von 3.000 EUR empfohlen.</t>
  </si>
  <si>
    <t>Es wird angenommen, dass das angegebene Nettoeinkommen 14-mal pro Jahr ausbezahlt wird, was dem oesterreichischen Standard entspricht. Fuer die Berechnung der gesetzlichen ASVG-Invaliditaetspension wird ein fiktiver Nettowert von 2.500 EUR monatlich angenommen, basierend auf der aktuellen Hoechstbeitragsgrundlage und den Zurechnungszeiten fuer einen 35-jaehrigen Arbeitnehmer. Es wird ausserdem angenommen, dass keine anderweitigen privaten Vorsorgen (z.B. Berufsunfaehigkeitsversicherung) bestehen, welche die Versorgungsluecke bereits teilweise schliessen.</t>
  </si>
  <si>
    <t>{"baustein_1_einmalzahlung_eur":300000,"baustein_2_unfallrente_monatlich_eur":3000,"beruecksichtigte_faktoren":["Alter: 35 Jahre","Nettoeinkommen: 5.500 EUR/Monat","Berufsrisiko: Dachdecker/Geruestbauer","Unterhaltspflichten: ledig, keine Kinder"],"berechnungslogik_baustein_1":"Die Einmalzahlung dient der Deckung von unfallbedingten Einmalkosten wie barrierefreien Umbauten oder medizinischen Hilfsmitteln. Als Basis wird das rund 4-fache Jahresnettoeinkommen herangezogen. Bei 14 Monatsgehaeltern zu je 5.500 EUR ergibt das ein Jahresnetto von 77.000 EUR. Das 4-fache entspricht 308.000 EUR. Aufgrund des extrem hohen Berufsrisikos als Dachdecker/Geruestbauer (Absturzgefahr mit potenziell schweren motorischen Einschraenkungen) wird ein hoher Kapitalbedarf fuer Umbauten angesetzt. Da der Kunde ledig ist und keine Kinder hat, muss kein Kapital fuer die Absicherung von Hinterbliebenen vorgehalten werden. Der errechnete Betrag wird auf eine marktuebliche, glatte Versicherungssumme von 300.000 EUR gerundet.","berechnungslogik_baustein_2":"Die monatliche Unfallrente dient dem Schliessen der Einkommensluecke bei dauernder Invaliditaet. Das aktuelle Nettoeinkommen betraegt 5.500 EUR. Bei voller Erwerbsminderung greift die gesetzliche Invaliditaetspension (ASVG). Aufgrund des Alters von 35 Jahren und der ASVG-Hoechstbeitragsgrundlage wird eine monatliche Nettopension von rund 2.500 EUR angenommen. Die Differenz zum bisherigen Einkommen betraegt somit 3.000 EUR. Um den Lebensstandard als Alleinstehender vollstaendig zu erhalten und moegliche laufende Mehrkosten durch die Invaliditaet zu decken, wird eine Rente in Hoehe der exakten Versorgungsluecke von 3.000 EUR empfohlen.","getroffene_annahmen":"Es wird angenommen, dass das angegebene Nettoeinkommen 14-mal pro Jahr ausbezahlt wird, was dem oesterreichischen Standard entspricht. Fuer die Berechnung der gesetzlichen ASVG-Invaliditaetspension wird ein fiktiver Nettowert von 2.500 EUR monatlich angenommen, basierend auf der aktuellen Hoechstbeitragsgrundlage und den Zurechnungszeiten fuer einen 35-jaehrigen Arbeitnehmer. Es wird ausserdem angenommen, dass keine anderweitigen privaten Vorsorgen (z.B. Berufsunfaehigkeitsversicherung) bestehen, welche die Versorgungsluecke bereits teilweise schliessen."}</t>
  </si>
  <si>
    <t>["Alter: 35 Jahre", "Monatliches Nettoeinkommen: 5.500 Euro", "Beruf: Dachdecker bzw. Gerüstbauer", "Familienstand: ledig, keine Kinder, keine Unterhaltspflichten"]</t>
  </si>
  <si>
    <t>Die Einmalzahlung dient der Deckung von unfallbedingten Einmalkosten wie Wohnungs- und PKW-Adaptierungen sowie speziellen Rehabilitationsmaßnahmen. Da der Kunde als Dachdecker/Gerüstbauer einem hohen körperlichen Risiko ausgesetzt ist und bei Invalidität mit hoher Wahrscheinlichkeit weitreichende physische Einschränkungen zu erwarten sind, wird ein pauschaler Kapitalbedarf von 250000 Euro angesetzt. Dieser setzt sich zusammen aus geschätzten 150000 Euro für barrierefreie Umbauten und 100000 Euro für medizinische Sonderausgaben und Heilbehelfe. Ein höherer Faktor zur Hinterbliebenenabsicherung ist aufgrund der fehlenden Unterhaltspflichten nicht notwendig.</t>
  </si>
  <si>
    <t>Die monatliche Unfallrente dient dem Schließen der Versorgungslücke zwischen dem bisherigen Nettoeinkommen und der gesetzlichen Invaliditätspension (ASVG). Das aktuelle Nettoeinkommen beträgt 5500 Euro. Für einen 35-jährigen Arbeitnehmer wird eine gesetzliche Invaliditätspension von rund 2000 Euro netto angenommen, da noch nicht alle Versicherungsmonate für eine Maximalpension erworben wurden. Die Differenz und somit die zu schließende Lücke beträgt exakt 3500 Euro (5500 Euro minus 2000 Euro). Da keine Unterhaltspflichten bestehen, muss die Rente exakt diesen individuellen Einkommensverlust abdecken.</t>
  </si>
  <si>
    <t>Es wird angenommen, dass der Kunde im Fall einer dauernden Invalidität eine gesetzliche ASVG-Invaliditätspension in Höhe von 2000 Euro netto monatlich erhält. Weiterhin wird angenommen, dass für barrierefreie Umbauten (Wohnung/Haus, PKW) und private Rehabilitationsmaßnahmen im Ernstfall Einmalkosten in Höhe von 250000 Euro anfallen. Es wird davon ausgegangen, dass das Nettoeinkommen von 5500 Euro zur Deckung des laufenden Lebensstandards vollständig benötigt wird.</t>
  </si>
  <si>
    <t>{"baustein_1_einmalzahlung_eur": 250000, "baustein_2_unfallrente_monatlich_eur": 3500, "beruecksichtigte_faktoren": ["Alter: 35 Jahre", "Monatliches Nettoeinkommen: 5.500 Euro", "Beruf: Dachdecker bzw. Gerüstbauer", "Familienstand: ledig, keine Kinder, keine Unterhaltspflichten"], "berechnungslogik_baustein_1": "Die Einmalzahlung dient der Deckung von unfallbedingten Einmalkosten wie Wohnungs- und PKW-Adaptierungen sowie speziellen Rehabilitationsmaßnahmen. Da der Kunde als Dachdecker/Gerüstbauer einem hohen körperlichen Risiko ausgesetzt ist und bei Invalidität mit hoher Wahrscheinlichkeit weitreichende physische Einschränkungen zu erwarten sind, wird ein pauschaler Kapitalbedarf von 250000 Euro angesetzt. Dieser setzt sich zusammen aus geschätzten 150000 Euro für barrierefreie Umbauten und 100000 Euro für medizinische Sonderausgaben und Heilbehelfe. Ein höherer Faktor zur Hinterbliebenenabsicherung ist aufgrund der fehlenden Unterhaltspflichten nicht notwendig.", "berechnungslogik_baustein_2": "Die monatliche Unfallrente dient dem Schließen der Versorgungslücke zwischen dem bisherigen Nettoeinkommen und der gesetzlichen Invaliditätspension (ASVG). Das aktuelle Nettoeinkommen beträgt 5500 Euro. Für einen 35-jährigen Arbeitnehmer wird eine gesetzliche Invaliditätspension von rund 2000 Euro netto angenommen, da noch nicht alle Versicherungsmonate für eine Maximalpension erworben wurden. Die Differenz und somit die zu schließende Lücke beträgt exakt 3500 Euro (5500 Euro minus 2000 Euro). Da keine Unterhaltspflichten bestehen, muss die Rente exakt diesen individuellen Einkommensverlust abdecken.", "getroffene_annahmen": "Es wird angenommen, dass der Kunde im Fall einer dauernden Invalidität eine gesetzliche ASVG-Invaliditätspension in Höhe von 2000 Euro netto monatlich erhält. Weiterhin wird angenommen, dass für barrierefreie Umbauten (Wohnung/Haus, PKW) und private Rehabilitationsmaßnahmen im Ernstfall Einmalkosten in Höhe von 250000 Euro anfallen. Es wird davon ausgegangen, dass das Nettoeinkommen von 5500 Euro zur Deckung des laufenden Lebensstandards vollständig benötigt wird."}</t>
  </si>
  <si>
    <t>Das Jahresnettoeinkommen wird unter Annahme von 14 Monatsgehaeltern auf 77.000 EUR berechnet. Aufgrund des schweren koerperlichen Berufs als Dachdecker und Geruestbauer ist bei einer dauernden Invaliditaet mit erheblichen Einmalkosten fuer Wohnungsadaptierung, barrierefreien Umbau und berufliche Neuorientierung zu rechnen. Als Faustregel wird das 4-fache Jahresnettoeinkommen herangezogen (77.000 EUR mal 4 ergibt 308.000 EUR). Dieser Wert wird zur Festlegung der Versicherungssumme auf 300.000 EUR gerundet.</t>
  </si>
  <si>
    <t>Das monatliche Nettoeinkommen betraegt 5.500 EUR. Die gesetzliche Invaliditaetspension nach ASVG ist durch die Hoechstbeitragsgrundlage gedeckelt. Fuer einen 35-Jaehrigen wird diese auf maximal ca. 2.200 EUR netto geschaetzt. Die monatliche Einkommensluecke betraegt somit ca. 3.300 EUR. Da der Kunde ledig ist und keine Kinder hat, muessen keine Familienmitglieder mitversorgt werden. Um den individuellen Lebensstandard dennoch nahezu vollstaendig zu erhalten, wird eine monatliche Unfallrente von 3.000 EUR empfohlen.</t>
  </si>
  <si>
    <t>Es wird angenommen, dass das angegebene Nettoeinkommen 14-mal pro Jahr ausbezahlt wird, was dem oesterreichischen Standard entspricht. Die gesetzliche ASVG-Invaliditaetspension wird auf 2.200 EUR netto geschaetzt, da das Einkommen des Kunden weit ueber der ASVG-Hoechstbeitragsgrundlage liegt. Es wird ferner angenommen, dass noch keine private Berufsunfaehigkeitsversicherung besteht, welche die Luecke bereits teilweise schliesst.</t>
  </si>
  <si>
    <t>{"baustein_1_einmalzahlung_eur": 300000, "baustein_2_unfallrente_monatlich_eur": 3000, "beruecksichtigte_faktoren": ["Alter: 35 Jahre", "Nettoeinkommen: 5.500 EUR/Monat", "Berufsrisiko: Dachdecker/Geruestbauer", "Unterhaltspflichten: ledig, keine Kinder"], "berechnungslogik_baustein_1": "Das Jahresnettoeinkommen wird unter Annahme von 14 Monatsgehaeltern auf 77.000 EUR berechnet. Aufgrund des schweren koerperlichen Berufs als Dachdecker und Geruestbauer ist bei einer dauernden Invaliditaet mit erheblichen Einmalkosten fuer Wohnungsadaptierung, barrierefreien Umbau und berufliche Neuorientierung zu rechnen. Als Faustregel wird das 4-fache Jahresnettoeinkommen herangezogen (77.000 EUR mal 4 ergibt 308.000 EUR). Dieser Wert wird zur Festlegung der Versicherungssumme auf 300.000 EUR gerundet.", "berechnungslogik_baustein_2": "Das monatliche Nettoeinkommen betraegt 5.500 EUR. Die gesetzliche Invaliditaetspension nach ASVG ist durch die Hoechstbeitragsgrundlage gedeckelt. Fuer einen 35-Jaehrigen wird diese auf maximal ca. 2.200 EUR netto geschaetzt. Die monatliche Einkommensluecke betraegt somit ca. 3.300 EUR. Da der Kunde ledig ist und keine Kinder hat, muessen keine Familienmitglieder mitversorgt werden. Um den individuellen Lebensstandard dennoch nahezu vollstaendig zu erhalten, wird eine monatliche Unfallrente von 3.000 EUR empfohlen.", "getroffene_annahmen": "Es wird angenommen, dass das angegebene Nettoeinkommen 14-mal pro Jahr ausbezahlt wird, was dem oesterreichischen Standard entspricht. Die gesetzliche ASVG-Invaliditaetspension wird auf 2.200 EUR netto geschaetzt, da das Einkommen des Kunden weit ueber der ASVG-Hoechstbeitragsgrundlage liegt. Es wird ferner angenommen, dass noch keine private Berufsunfaehigkeitsversicherung besteht, welche die Luecke bereits teilweise schliesst."}</t>
  </si>
  <si>
    <t>["Alter: 35 Jahre", "Nettoeinkommen: 5.500 EUR/Monat", "Berufsrisiko: Dachdecker/Geruestbauer", "Unterhaltspflichten: verheiratet, 3 Kinder"]</t>
  </si>
  <si>
    <t>Das Jahresnettoeinkommen betraegt bei 14 Gehaeltern 77.000 EUR. Aufgrund des hohen Berufsrisikos als Dachdecker/Geruestbauer und der hohen finanziellen Verantwortung fuer 4 Unterhaltspflichtige wird das 5-fache Jahresnettoeinkommen als Basis herangezogen (77.000 EUR * 5 = 385.000 EUR). Dieser Wert wird auf eine marktuebliche Versicherungssumme von 400.000 EUR aufgerundet, um Umbaukosten, Umschulungen und erste Einkommenseinbussen umfassend abzudecken.</t>
  </si>
  <si>
    <t>Das monatliche Nettoeinkommen von 5.500 EUR liegt deutlich ueber der ASVG-Hoechstbeitragsgrundlage. Die gesetzliche Invaliditaetspension wird auf maximal ca. 2.200 EUR netto geschaetzt. Daraus ergibt sich eine monatliche Versorgungsluecke von 3.300 EUR (5.500 EUR - 2.200 EUR). Da der Kunde Allein- oder Hauptverdiener fuer eine 5-koepfige Familie ist, muss diese Luecke zu 100 Prozent durch die private Unfallrente geschlossen werden.</t>
  </si>
  <si>
    <t>Es wird angenommen, dass das Einkommen 14-mal pro Jahr ausbezahlt wird (oesterreichischer Standard). Die gesetzliche ASVG-Invaliditaetspension wird aufgrund der Deckelung durch die Hoechstbeitragsgrundlage mit ca. 2.200 EUR netto angenommen. Zudem wird vorausgesetzt, dass der Kunde der Hauptverdiener ist und der bisherige Lebensstandard der Familie vollstaendig erhalten bleiben soll.</t>
  </si>
  <si>
    <t>{"baustein_1_einmalzahlung_eur":400000,"baustein_2_unfallrente_monatlich_eur":3300,"beruecksichtigte_faktoren":["Alter: 35 Jahre","Nettoeinkommen: 5.500 EUR/Monat","Berufsrisiko: Dachdecker/Geruestbauer","Unterhaltspflichten: verheiratet, 3 Kinder"],"berechnungslogik_baustein_1":"Das Jahresnettoeinkommen betraegt bei 14 Gehaeltern 77.000 EUR. Aufgrund des hohen Berufsrisikos als Dachdecker/Geruestbauer und der hohen finanziellen Verantwortung fuer 4 Unterhaltspflichtige wird das 5-fache Jahresnettoeinkommen als Basis herangezogen (77.000 EUR * 5 = 385.000 EUR). Dieser Wert wird auf eine marktuebliche Versicherungssumme von 400.000 EUR aufgerundet, um Umbaukosten, Umschulungen und erste Einkommenseinbussen umfassend abzudecken.","berechnungslogik_baustein_2":"Das monatliche Nettoeinkommen von 5.500 EUR liegt deutlich ueber der ASVG-Hoechstbeitragsgrundlage. Die gesetzliche Invaliditaetspension wird auf maximal ca. 2.200 EUR netto geschaetzt. Daraus ergibt sich eine monatliche Versorgungsluecke von 3.300 EUR (5.500 EUR - 2.200 EUR). Da der Kunde Allein- oder Hauptverdiener fuer eine 5-koepfige Familie ist, muss diese Luecke zu 100 Prozent durch die private Unfallrente geschlossen werden.","getroffene_annahmen":"Es wird angenommen, dass das Einkommen 14-mal pro Jahr ausbezahlt wird (oesterreichischer Standard). Die gesetzliche ASVG-Invaliditaetspension wird aufgrund der Deckelung durch die Hoechstbeitragsgrundlage mit ca. 2.200 EUR netto angenommen. Zudem wird vorausgesetzt, dass der Kunde der Hauptverdiener ist und der bisherige Lebensstandard der Familie vollstaendig erhalten bleiben soll."}</t>
  </si>
  <si>
    <t>["Alter: 35 Jahre", "Monatliches Nettoeinkommen: 5.500 Euro", "Beruf: Dachdecker bzw. Geruestbauer", "Familienstand: Verheiratet", "Kinder: 3 (bestehende Unterhaltspflichten)"]</t>
  </si>
  <si>
    <t>Das Jahresnettoeinkommen wird auf Basis von 14 Monatsgehaeltern mit 77.000 Euro berechnet. Als Grundabsicherung wird das Fuenffache des Jahresnettoeinkommens angesetzt (385.000 Euro), um den Lebensstandard langfristig zu sichern und behindertengerechte Umbauten zu finanzieren, die aufgrund des koerperlich stark fordernden Berufs (Dachdecker/Geruestbauer) bei Invaliditaet sehr wahrscheinlich noetig werden. Zusaetzlich wird fuer jedes der drei Kinder ein Kapitalbedarf von rund 38.333 Euro (insgesamt 115.000 Euro) fuer Ausbildung und Unterhaltssicherung addiert. Dies ergibt in Summe exakt 500.000 Euro.</t>
  </si>
  <si>
    <t>Das monatliche Nettoeinkommen betraegt 5.500 Euro. Da dieses Einkommen deutlich ueber der ASVG-Hoechstbeitragsgrundlage liegt, entsteht bei dauernder Erwerbsminderung eine erhebliche Versorgungsluecke. Bei einem Alter von 35 Jahren wird die gesetzliche Invaliditaetspension auf maximal 2.000 Euro netto geschaetzt. Um die Unterhaltspflichten fuer die Ehefrau und die drei Kinder vollumfaenglich erfuellen zu koennen, muss die Differenz zwischen dem bisherigen Nettoeinkommen (5.500 Euro) und der gesetzlichen Leistung (2.000 Euro) vollstaendig durch die private Unfallrente gedeckt werden. Dies ergibt einen monatlichen Rentenbedarf von 3.500 Euro.</t>
  </si>
  <si>
    <t>Es wird angenommen, dass das angegebene Nettoeinkommen 14-mal jaehrlich ausbezahlt wird (oesterreichischer Standard). Fuer die gesetzliche ASVG-Invaliditaetspension wird ein Referenzwert von 2.000 Euro netto pro Monat angenommen, da der Kunde erst 35 Jahre alt ist und die Bemessungsgrundlage nach oben gedeckelt ist. Es wird ferner angenommen, dass der Kunde als Hauptverdiener den Lebensunterhalt der fuenfkoepfigen Familie bestreitet und die Versorgungsluecke daher zu 100 Prozent geschlossen werden muss.</t>
  </si>
  <si>
    <t>{"baustein_1_einmalzahlung_eur":500000,"baustein_2_unfallrente_monatlich_eur":3500,"beruecksichtigte_faktoren":["Alter: 35 Jahre","Monatliches Nettoeinkommen: 5.500 Euro","Beruf: Dachdecker bzw. Geruestbauer","Familienstand: Verheiratet","Kinder: 3 (bestehende Unterhaltspflichten)"],"berechnungslogik_baustein_1":"Das Jahresnettoeinkommen wird auf Basis von 14 Monatsgehaeltern mit 77.000 Euro berechnet. Als Grundabsicherung wird das Fuenffache des Jahresnettoeinkommens angesetzt (385.000 Euro), um den Lebensstandard langfristig zu sichern und behindertengerechte Umbauten zu finanzieren, die aufgrund des koerperlich stark fordernden Berufs (Dachdecker/Geruestbauer) bei Invaliditaet sehr wahrscheinlich noetig werden. Zusaetzlich wird fuer jedes der drei Kinder ein Kapitalbedarf von rund 38.333 Euro (insgesamt 115.000 Euro) fuer Ausbildung und Unterhaltssicherung addiert. Dies ergibt in Summe exakt 500.000 Euro.","berechnungslogik_baustein_2":"Das monatliche Nettoeinkommen betraegt 5.500 Euro. Da dieses Einkommen deutlich ueber der ASVG-Hoechstbeitragsgrundlage liegt, entsteht bei dauernder Erwerbsminderung eine erhebliche Versorgungsluecke. Bei einem Alter von 35 Jahren wird die gesetzliche Invaliditaetspension auf maximal 2.000 Euro netto geschaetzt. Um die Unterhaltspflichten fuer die Ehefrau und die drei Kinder vollumfaenglich erfuellen zu koennen, muss die Differenz zwischen dem bisherigen Nettoeinkommen (5.500 Euro) und der gesetzlichen Leistung (2.000 Euro) vollstaendig durch die private Unfallrente gedeckt werden. Dies ergibt einen monatlichen Rentenbedarf von 3.500 Euro.","getroffene_annahmen":"Es wird angenommen, dass das angegebene Nettoeinkommen 14-mal jaehrlich ausbezahlt wird (oesterreichischer Standard). Fuer die gesetzliche ASVG-Invaliditaetspension wird ein Referenzwert von 2.000 Euro netto pro Monat angenommen, da der Kunde erst 35 Jahre alt ist und die Bemessungsgrundlage nach oben gedeckelt ist. Es wird ferner angenommen, dass der Kunde als Hauptverdiener den Lebensunterhalt der fuenfkoepfigen Familie bestreitet und die Versorgungsluecke daher zu 100 Prozent geschlossen werden muss."}</t>
  </si>
  <si>
    <t>["Alter: 35 Jahre", "Nettoeinkommen: 5.500 EUR pro Monat", "Berufsrisiko: Dachdecker/Geruestbauer", "Unterhaltspflichten: verheiratet, 3 Kinder"]</t>
  </si>
  <si>
    <t>Die Einmalzahlung dient der Deckung von Umbaukosten, Rehabilitation und Einmalaufwendungen. Angenommen wird ein Jahresnettoeinkommen von 77.000 EUR (5.500 EUR multipliziert mit 14 Monaten, gemaess oesterreichischem Standard). Als Basis dient das 5-fache Jahresnettoeinkommen (385.000 EUR) aufgrund des extrem hohen koerperlichen Berufsrisikos als Dachdecker/Geruestbauer und der hohen finanziellen Verantwortung fuer 4 abhaengige Personen (Ehepartner, 3 Kinder). Der Betrag wurde auf 400.000 EUR aufgerundet, um einen zusaetzlichen Puffer fuer behindertengerechte Wohnungsadaptierungen und notwendige Umschulungen zu gewaehrleisten.</t>
  </si>
  <si>
    <t>Die Unfallrente soll die monatliche Versorgungsluecke schliessen, um den Lebensstandard der 5-koepfigen Familie dauerhaft zu sichern. Bei einem Nettoeinkommen von 5.500 EUR liegt das Einkommen weit ueber der ASVG-Hoechstbeitragsgrundlage. Die zu erwartende gesetzliche Invaliditaetspension wird daher durch die Deckelung auf maximal ca. 2.500 EUR netto geschaetzt. Um den bisherigen Lebensstandard zu halten, ergibt sich eine monatliche Versorgungsluecke von exakt 3.000 EUR (5.500 EUR bisheriges Nettoeinkommen abzuglich 2.500 EUR angenommene ASVG-Pension). Daher wird eine monatliche Unfallrente von 3.000 EUR empfohlen.</t>
  </si>
  <si>
    <t>Es wird angenommen, dass das Gehalt 14-mal jaehrlich ausbezahlt wird, was dem oesterreichischen Standard entspricht. Fuer die gesetzliche Invaliditaetspension (ASVG) wird ein gedeckelter Wert von ca. 2.500 EUR netto pro Monat angenommen, da das Einkommen die gesetzliche Hoechstbeitragsgrundlage deutlich ueberschreitet. Es wird vorausgesetzt, dass der Kunde im Falle einer 50-prozentigen Invaliditaet seinen koerperlich stark beanspruchenden Beruf als Dachdecker/Geruestbauer nicht mehr ausueben kann und somit ein dauerhafter Einkommensverlust in der bisherigen Hoehe droht.</t>
  </si>
  <si>
    <t>{"baustein_1_einmalzahlung_eur":400000,"baustein_2_unfallrente_monatlich_eur":3000,"beruecksichtigte_faktoren":["Alter: 35 Jahre","Nettoeinkommen: 5.500 EUR pro Monat","Berufsrisiko: Dachdecker/Geruestbauer","Unterhaltspflichten: verheiratet, 3 Kinder"],"berechnungslogik_baustein_1":"Die Einmalzahlung dient der Deckung von Umbaukosten, Rehabilitation und Einmalaufwendungen. Angenommen wird ein Jahresnettoeinkommen von 77.000 EUR (5.500 EUR multipliziert mit 14 Monaten, gemaess oesterreichischem Standard). Als Basis dient das 5-fache Jahresnettoeinkommen (385.000 EUR) aufgrund des extrem hohen koerperlichen Berufsrisikos als Dachdecker/Geruestbauer und der hohen finanziellen Verantwortung fuer 4 abhaengige Personen (Ehepartner, 3 Kinder). Der Betrag wurde auf 400.000 EUR aufgerundet, um einen zusaetzlichen Puffer fuer behindertengerechte Wohnungsadaptierungen und notwendige Umschulungen zu gewaehrleisten.","berechnungslogik_baustein_2":"Die Unfallrente soll die monatliche Versorgungsluecke schliessen, um den Lebensstandard der 5-koepfigen Familie dauerhaft zu sichern. Bei einem Nettoeinkommen von 5.500 EUR liegt das Einkommen weit ueber der ASVG-Hoechstbeitragsgrundlage. Die zu erwartende gesetzliche Invaliditaetspension wird daher durch die Deckelung auf maximal ca. 2.500 EUR netto geschaetzt. Um den bisherigen Lebensstandard zu halten, ergibt sich eine monatliche Versorgungsluecke von exakt 3.000 EUR (5.500 EUR bisheriges Nettoeinkommen abzuglich 2.500 EUR angenommene ASVG-Pension). Daher wird eine monatliche Unfallrente von 3.000 EUR empfohlen.","getroffene_annahmen":"Es wird angenommen, dass das Gehalt 14-mal jaehrlich ausbezahlt wird, was dem oesterreichischen Standard entspricht. Fuer die gesetzliche Invaliditaetspension (ASVG) wird ein gedeckelter Wert von ca. 2.500 EUR netto pro Monat angenommen, da das Einkommen die gesetzliche Hoechstbeitragsgrundlage deutlich ueberschreitet. Es wird vorausgesetzt, dass der Kunde im Falle einer 50-prozentigen Invaliditaet seinen koerperlich stark beanspruchenden Beruf als Dachdecker/Geruestbauer nicht mehr ausueben kann und somit ein dauerhafter Einkommensverlust in der bisherigen Hoehe droht."}</t>
  </si>
  <si>
    <t>gpt-4o-2024-08-06</t>
  </si>
  <si>
    <t>["Alter: 35 Jahre", "Nettoeinkommen: 1.800 €/Monat", "Berufsrisiko: Bürotätigkeit", "Unterhaltspflichten: ledig, keine Kinder"]</t>
  </si>
  <si>
    <t>Für die einmalige Invaliditätsleistung wird angenommen, dass im Falle einer dauerhaften Invalidität Kosten für Wohnungsanpassungen, Rehabilitation und Hilfsmittel anfallen. Bei einem 35-jährigen Kunden ohne Unterhaltspflichten und einem mittleren Nettoeinkommen von 1.800 € pro Monat wird eine einmalige Zahlung von 50.000 € als angemessen erachtet, um diese Kosten zu decken. Diese Summe basiert auf durchschnittlichen Kosten für Wohnungsanpassungen (ca. 20.000 €), Rehabilitation (ca. 15.000 €) und Hilfsmittel (ca. 15.000 €).</t>
  </si>
  <si>
    <t>Die monatliche Unfallrente soll den Einkommensausfall ausgleichen, der durch eine dauerhafte Invalidität entsteht. Bei einem Nettoeinkommen von 1.800 € und unter Berücksichtigung der gesetzlichen Invaliditätspension, die etwa 60 % des letzten Einkommens beträgt (ca. 1.080 €), ergibt sich eine Versorgungslücke von 720 €. Um diese Lücke teilweise zu schließen und den Lebensstandard zu sichern, wird eine monatliche Unfallrente von 500 € empfohlen. Diese Summe berücksichtigt das Berufsrisiko (Bürotätigkeit) und die Tatsache, dass der Kunde keine Unterhaltspflichten hat.</t>
  </si>
  <si>
    <t>Es wird angenommen, dass die gesetzliche Invaliditätspension etwa 60 % des letzten Nettoeinkommens beträgt. Die Kosten für Wohnungsanpassungen, Rehabilitation und Hilfsmittel basieren auf durchschnittlichen Erfahrungswerten. Es wird davon ausgegangen, dass der Kunde keine weiteren Einkommensquellen oder Vermögenswerte hat, die im Invaliditätsfall zur Verfügung stehen.</t>
  </si>
  <si>
    <t>{"baustein_1_einmalzahlung_eur":50000,"baustein_2_unfallrente_monatlich_eur":500,"beruecksichtigte_faktoren":["Alter: 35 Jahre","Nettoeinkommen: 1.800 €/Monat","Berufsrisiko: Bürotätigkeit","Unterhaltspflichten: ledig, keine Kinder"],"berechnungslogik_baustein_1":"Für die einmalige Invaliditätsleistung wird angenommen, dass im Falle einer dauerhaften Invalidität Kosten für Wohnungsanpassungen, Rehabilitation und Hilfsmittel anfallen. Bei einem 35-jährigen Kunden ohne Unterhaltspflichten und einem mittleren Nettoeinkommen von 1.800 € pro Monat wird eine einmalige Zahlung von 50.000 € als angemessen erachtet, um diese Kosten zu decken. Diese Summe basiert auf durchschnittlichen Kosten für Wohnungsanpassungen (ca. 20.000 €), Rehabilitation (ca. 15.000 €) und Hilfsmittel (ca. 15.000 €).","berechnungslogik_baustein_2":"Die monatliche Unfallrente soll den Einkommensausfall ausgleichen, der durch eine dauerhafte Invalidität entsteht. Bei einem Nettoeinkommen von 1.800 € und unter Berücksichtigung der gesetzlichen Invaliditätspension, die etwa 60 % des letzten Einkommens beträgt (ca. 1.080 €), ergibt sich eine Versorgungslücke von 720 €. Um diese Lücke teilweise zu schließen und den Lebensstandard zu sichern, wird eine monatliche Unfallrente von 500 € empfohlen. Diese Summe berücksichtigt das Berufsrisiko (Bürotätigkeit) und die Tatsache, dass der Kunde keine Unterhaltspflichten hat.","getroffene_annahmen":"Es wird angenommen, dass die gesetzliche Invaliditätspension etwa 60 % des letzten Nettoeinkommens beträgt. Die Kosten für Wohnungsanpassungen, Rehabilitation und Hilfsmittel basieren auf durchschnittlichen Erfahrungswerten. Es wird davon ausgegangen, dass der Kunde keine weiteren Einkommensquellen oder Vermögenswerte hat, die im Invaliditätsfall zur Verfügung stehen."}</t>
  </si>
  <si>
    <t>["Alter des Kunden: 35 Jahre", "Monatliches Nettoeinkommen: 1.800 Euro", "Beruf: Bürotätigkeit", "Familienstand: ledig, keine Kinder, keine Unterhaltspflichten"]</t>
  </si>
  <si>
    <t>Für die einmalige Invaliditätsleistung wird angenommen, dass im Falle einer dauerhaften Invalidität durch Unfall einmalige Kosten für Wohnungsadaptierung, Rehabilitation und Hilfsmittel anfallen. Bei einem 35-jährigen Kunden in einer Bürotätigkeit, der keine Unterhaltspflichten hat, wird eine mittlere Anpassung der Wohnsituation und moderate Rehabilitationskosten angenommen. Ein Betrag von 50.000 Euro wird als angemessen erachtet, um diese einmaligen Kosten zu decken, basierend auf durchschnittlichen Kosten für Wohnungsumbauten und Hilfsmittel in Österreich.</t>
  </si>
  <si>
    <t>Die monatliche Unfallrente soll den Einkommensausfall ausgleichen. Bei einem Nettoeinkommen von 1.800 Euro und einem angenommenen gesetzlichen Invaliditätspensionsanspruch von etwa 900 Euro (50% des Nettoeinkommens) ergibt sich eine Versorgungslücke von 900 Euro. Daher wird eine monatliche Unfallrente von 900 Euro empfohlen, um den Einkommensausfall vollständig auszugleichen.</t>
  </si>
  <si>
    <t>Es wird angenommen, dass der gesetzliche Invaliditätspensionsanspruch bei 50% des Nettoeinkommens liegt, was in etwa 900 Euro entspricht. Die Kosten für Wohnungsadaptierung und Hilfsmittel werden auf Basis durchschnittlicher österreichischer Werte geschätzt.</t>
  </si>
  <si>
    <t>{"baustein_1_einmalzahlung_eur":50000,"baustein_2_unfallrente_monatlich_eur":900,"beruecksichtigte_faktoren":["Alter des Kunden: 35 Jahre","Monatliches Nettoeinkommen: 1.800 Euro","Beruf: Bürotätigkeit","Familienstand: ledig, keine Kinder, keine Unterhaltspflichten"],"berechnungslogik_baustein_1":"Für die einmalige Invaliditätsleistung wird angenommen, dass im Falle einer dauerhaften Invalidität durch Unfall einmalige Kosten für Wohnungsadaptierung, Rehabilitation und Hilfsmittel anfallen. Bei einem 35-jährigen Kunden in einer Bürotätigkeit, der keine Unterhaltspflichten hat, wird eine mittlere Anpassung der Wohnsituation und moderate Rehabilitationskosten angenommen. Ein Betrag von 50.000 Euro wird als angemessen erachtet, um diese einmaligen Kosten zu decken, basierend auf durchschnittlichen Kosten für Wohnungsumbauten und Hilfsmittel in Österreich.","berechnungslogik_baustein_2":"Die monatliche Unfallrente soll den Einkommensausfall ausgleichen. Bei einem Nettoeinkommen von 1.800 Euro und einem angenommenen gesetzlichen Invaliditätspensionsanspruch von etwa 900 Euro (50% des Nettoeinkommens) ergibt sich eine Versorgungslücke von 900 Euro. Daher wird eine monatliche Unfallrente von 900 Euro empfohlen, um den Einkommensausfall vollständig auszugleichen.","getroffene_annahmen":"Es wird angenommen, dass der gesetzliche Invaliditätspensionsanspruch bei 50% des Nettoeinkommens liegt, was in etwa 900 Euro entspricht. Die Kosten für Wohnungsadaptierung und Hilfsmittel werden auf Basis durchschnittlicher österreichischer Werte geschätzt."}</t>
  </si>
  <si>
    <t>Für die einmalige Invaliditätsleistung wird angenommen, dass im Falle einer dauerhaften Invalidität durch Unfall einmalige Kosten für Wohnungsadaptierung, Rehabilitation und Hilfsmittel anfallen. Bei einem 35-jährigen Kunden ohne Unterhaltspflichten und einem Nettoeinkommen von 1.800 €/Monat wird eine einmalige Zahlung von 50.000 € als angemessen erachtet, um diese Kosten zu decken. Diese Summe basiert auf durchschnittlichen Kosten für Wohnungsanpassungen (ca. 20.000 €), Rehabilitation (ca. 15.000 €) und Hilfsmittel (ca. 15.000 €).</t>
  </si>
  <si>
    <t>Die monatliche Unfallrente soll den Einkommensausfall ausgleichen. Bei einem Nettoeinkommen von 1.800 €/Monat und einem Berufsrisiko im Bürobereich wird angenommen, dass die gesetzliche Invaliditätspension etwa 50% des letzten Nettoeinkommens beträgt, also ca. 900 €/Monat. Um die Versorgungslücke zu schließen, wird eine private Unfallrente von 900 €/Monat empfohlen, um das ursprüngliche Nettoeinkommen zu erreichen.</t>
  </si>
  <si>
    <t>Es wird angenommen, dass die gesetzliche Invaliditätspension etwa 50% des letzten Nettoeinkommens beträgt. Die Kosten für Wohnungsadaptierung, Rehabilitation und Hilfsmittel basieren auf durchschnittlichen Erfahrungswerten. Es wird davon ausgegangen, dass keine weiteren finanziellen Verpflichtungen bestehen, da der Kunde ledig ist und keine Kinder hat.</t>
  </si>
  <si>
    <t>{"baustein_1_einmalzahlung_eur":50000,"baustein_2_unfallrente_monatlich_eur":900,"beruecksichtigte_faktoren":["Alter: 35 Jahre","Nettoeinkommen: 1.800 €/Monat","Berufsrisiko: Bürotätigkeit","Unterhaltspflichten: ledig, keine Kinder"],"berechnungslogik_baustein_1":"Für die einmalige Invaliditätsleistung wird angenommen, dass im Falle einer dauerhaften Invalidität durch Unfall einmalige Kosten für Wohnungsadaptierung, Rehabilitation und Hilfsmittel anfallen. Bei einem 35-jährigen Kunden ohne Unterhaltspflichten und einem Nettoeinkommen von 1.800 €/Monat wird eine einmalige Zahlung von 50.000 € als angemessen erachtet, um diese Kosten zu decken. Diese Summe basiert auf durchschnittlichen Kosten für Wohnungsanpassungen (ca. 20.000 €), Rehabilitation (ca. 15.000 €) und Hilfsmittel (ca. 15.000 €).","berechnungslogik_baustein_2":"Die monatliche Unfallrente soll den Einkommensausfall ausgleichen. Bei einem Nettoeinkommen von 1.800 €/Monat und einem Berufsrisiko im Bürobereich wird angenommen, dass die gesetzliche Invaliditätspension etwa 50% des letzten Nettoeinkommens beträgt, also ca. 900 €/Monat. Um die Versorgungslücke zu schließen, wird eine private Unfallrente von 900 €/Monat empfohlen, um das ursprüngliche Nettoeinkommen zu erreichen.","getroffene_annahmen":"Es wird angenommen, dass die gesetzliche Invaliditätspension etwa 50% des letzten Nettoeinkommens beträgt. Die Kosten für Wohnungsadaptierung, Rehabilitation und Hilfsmittel basieren auf durchschnittlichen Erfahrungswerten. Es wird davon ausgegangen, dass keine weiteren finanziellen Verpflichtungen bestehen, da der Kunde ledig ist und keine Kinder hat."}</t>
  </si>
  <si>
    <t>["Alter: 35 Jahre", "Nettoeinkommen: 1.800 €/Monat", "Berufsrisiko: Bürotätigkeit", "Unterhaltspflichten: verheiratet, 3 Kinder"]</t>
  </si>
  <si>
    <t>Für die einmalige Invaliditätsleistung wird eine Summe berechnet, die die einmaligen Kosten im Invaliditätsfall abdecken soll. Diese Kosten umfassen Wohnungsadaptierung, Rehabilitation und Hilfsmittel. Bei einem 35-jährigen Kunden mit einer Familie (verheiratet, 3 Kinder) ist eine höhere Summe erforderlich, um die Anpassung der Wohnsituation und die Versorgung der Familie sicherzustellen. Ein Betrag von 50.000 € wird als angemessen erachtet, basierend auf durchschnittlichen Kosten für Wohnungsanpassungen (ca. 20.000 €), Rehabilitation (ca. 15.000 €) und Hilfsmittel (ca. 15.000 €).</t>
  </si>
  <si>
    <t>Die monatliche Unfallrente soll den Einkommensausfall ausgleichen. Bei einem Nettoeinkommen von 1.800 €/Monat und einem gesetzlichen Invaliditätspensionsanspruch von ca. 900 €/Monat (angenommener Durchschnittswert für eine Familie mit 3 Kindern) ergibt sich eine Versorgungslücke von 900 €/Monat. Diese Lücke wird durch die private Unfallrente geschlossen, um den Lebensstandard der Familie zu sichern.</t>
  </si>
  <si>
    <t>Es wird angenommen, dass die gesetzliche Invaliditätspension bei ca. 50% des Nettoeinkommens liegt, was für eine Familie mit 3 Kindern einen Betrag von ca. 900 €/Monat ergibt. Die Kosten für Wohnungsanpassungen, Rehabilitation und Hilfsmittel basieren auf durchschnittlichen Marktwerten.</t>
  </si>
  <si>
    <t>{"baustein_1_einmalzahlung_eur":50000,"baustein_2_unfallrente_monatlich_eur":900,"beruecksichtigte_faktoren":["Alter: 35 Jahre","Nettoeinkommen: 1.800 €/Monat","Berufsrisiko: Bürotätigkeit","Unterhaltspflichten: verheiratet, 3 Kinder"],"berechnungslogik_baustein_1":"Für die einmalige Invaliditätsleistung wird eine Summe berechnet, die die einmaligen Kosten im Invaliditätsfall abdecken soll. Diese Kosten umfassen Wohnungsadaptierung, Rehabilitation und Hilfsmittel. Bei einem 35-jährigen Kunden mit einer Familie (verheiratet, 3 Kinder) ist eine höhere Summe erforderlich, um die Anpassung der Wohnsituation und die Versorgung der Familie sicherzustellen. Ein Betrag von 50.000 € wird als angemessen erachtet, basierend auf durchschnittlichen Kosten für Wohnungsanpassungen (ca. 20.000 €), Rehabilitation (ca. 15.000 €) und Hilfsmittel (ca. 15.000 €).","berechnungslogik_baustein_2":"Die monatliche Unfallrente soll den Einkommensausfall ausgleichen. Bei einem Nettoeinkommen von 1.800 €/Monat und einem gesetzlichen Invaliditätspensionsanspruch von ca. 900 €/Monat (angenommener Durchschnittswert für eine Familie mit 3 Kindern) ergibt sich eine Versorgungslücke von 900 €/Monat. Diese Lücke wird durch die private Unfallrente geschlossen, um den Lebensstandard der Familie zu sichern.","getroffene_annahmen":"Es wird angenommen, dass die gesetzliche Invaliditätspension bei ca. 50% des Nettoeinkommens liegt, was für eine Familie mit 3 Kindern einen Betrag von ca. 900 €/Monat ergibt. Die Kosten für Wohnungsanpassungen, Rehabilitation und Hilfsmittel basieren auf durchschnittlichen Marktwerten."}</t>
  </si>
  <si>
    <t>["Alter des Kunden: 35 Jahre", "Monatliches Nettoeinkommen: 1.800 Euro", "Beruf: Bürotätigkeit", "Familienstand: verheiratet", "Anzahl der Kinder: 3", "Unterhaltspflichten"]</t>
  </si>
  <si>
    <t>Für die einmalige Invaliditätsleistung wird eine Summe berechnet, die die Kosten für Wohnungsadaptierung, Rehabilitation und Hilfsmittel abdeckt. Bei einem 35-jährigen Kunden mit Unterhaltspflichten für drei Kinder und einem Ehepartner wird eine höhere Summe benötigt. Durchschnittliche Kosten für Wohnungsanpassungen und Hilfsmittel können bei etwa 50.000 bis 100.000 Euro liegen. Aufgrund der familiären Verpflichtungen und des jungen Alters des Kunden wird eine Summe von 100.000 Euro als angemessen erachtet.</t>
  </si>
  <si>
    <t>Die monatliche Unfallrente soll den Einkommensausfall ausgleichen. Bei einem Nettoeinkommen von 1.800 Euro und einer angenommenen gesetzlichen Invaliditätspension von etwa 900 Euro (50% des Nettoeinkommens) ergibt sich eine Versorgungslücke von 900 Euro. Diese Lücke wird durch die private Unfallrente geschlossen, daher wird eine monatliche Unfallrente von 900 Euro empfohlen.</t>
  </si>
  <si>
    <t>Es wird angenommen, dass die gesetzliche Invaliditätspension bei 50% des Nettoeinkommens liegt, was in etwa 900 Euro entspricht. Die Kosten für Wohnungsanpassungen und Hilfsmittel werden auf 50.000 bis 100.000 Euro geschätzt. Es wird davon ausgegangen, dass der Kunde keine weiteren Einkommensquellen hat.</t>
  </si>
  <si>
    <t>{"baustein_1_einmalzahlung_eur":100000,"baustein_2_unfallrente_monatlich_eur":900,"beruecksichtigte_faktoren":["Alter des Kunden: 35 Jahre","Monatliches Nettoeinkommen: 1.800 Euro","Beruf: Bürotätigkeit","Familienstand: verheiratet","Anzahl der Kinder: 3","Unterhaltspflichten"],"berechnungslogik_baustein_1":"Für die einmalige Invaliditätsleistung wird eine Summe berechnet, die die Kosten für Wohnungsadaptierung, Rehabilitation und Hilfsmittel abdeckt. Bei einem 35-jährigen Kunden mit Unterhaltspflichten für drei Kinder und einem Ehepartner wird eine höhere Summe benötigt. Durchschnittliche Kosten für Wohnungsanpassungen und Hilfsmittel können bei etwa 50.000 bis 100.000 Euro liegen. Aufgrund der familiären Verpflichtungen und des jungen Alters des Kunden wird eine Summe von 100.000 Euro als angemessen erachtet.","berechnungslogik_baustein_2":"Die monatliche Unfallrente soll den Einkommensausfall ausgleichen. Bei einem Nettoeinkommen von 1.800 Euro und einer angenommenen gesetzlichen Invaliditätspension von etwa 900 Euro (50% des Nettoeinkommens) ergibt sich eine Versorgungslücke von 900 Euro. Diese Lücke wird durch die private Unfallrente geschlossen, daher wird eine monatliche Unfallrente von 900 Euro empfohlen.","getroffene_annahmen":"Es wird angenommen, dass die gesetzliche Invaliditätspension bei 50% des Nettoeinkommens liegt, was in etwa 900 Euro entspricht. Die Kosten für Wohnungsanpassungen und Hilfsmittel werden auf 50.000 bis 100.000 Euro geschätzt. Es wird davon ausgegangen, dass der Kunde keine weiteren Einkommensquellen hat."}</t>
  </si>
  <si>
    <t>Für die einmalige Invaliditätsleistung wird eine Summe von 50.000 € empfohlen. Diese Summe berücksichtigt die Notwendigkeit, einmalige Kosten wie Wohnungsadaptierung, Rehabilitation und Hilfsmittel zu decken. Bei einem 35-jährigen Kunden mit einer Familie (verheiratet, 3 Kinder) ist es wichtig, eine ausreichende Summe für solche Anpassungen vorzusehen. Die Summe von 50.000 € ist eine gängige Empfehlung für Personen mit mittlerem Risiko und familiären Verpflichtungen, um die finanziellen Auswirkungen einer dauerhaften Invalidität abzufedern.</t>
  </si>
  <si>
    <t>Die monatliche Unfallrente wird auf 1.000 € festgelegt. Dies basiert auf der Annahme, dass die gesetzliche Invaliditätspension bei einem Invaliditätsgrad von über 50 % etwa 60 % des letzten Nettoeinkommens beträgt, was in diesem Fall ca. 1.080 € wäre. Um die Versorgungslücke zu schließen und den Lebensstandard der Familie zu sichern, wird eine zusätzliche private Unfallrente von 1.000 € empfohlen. Dies stellt sicher, dass der Einkommensausfall durch die Invalidität angemessen kompensiert wird, insbesondere angesichts der Unterhaltspflichten gegenüber der Ehefrau und den drei Kindern.</t>
  </si>
  <si>
    <t>Es wird angenommen, dass die gesetzliche Invaliditätspension etwa 60 % des letzten Nettoeinkommens beträgt. Diese Annahme basiert auf typischen Berechnungen für die Invaliditätspension nach dem ASVG. Es wird auch angenommen, dass die Familie des Kunden auf das Einkommen angewiesen ist, um den aktuellen Lebensstandard zu halten.</t>
  </si>
  <si>
    <t>{"baustein_1_einmalzahlung_eur":50000,"baustein_2_unfallrente_monatlich_eur":1000,"beruecksichtigte_faktoren":["Alter: 35 Jahre","Nettoeinkommen: 1.800 €/Monat","Berufsrisiko: Bürotätigkeit","Unterhaltspflichten: verheiratet, 3 Kinder"],"berechnungslogik_baustein_1":"Für die einmalige Invaliditätsleistung wird eine Summe von 50.000 € empfohlen. Diese Summe berücksichtigt die Notwendigkeit, einmalige Kosten wie Wohnungsadaptierung, Rehabilitation und Hilfsmittel zu decken. Bei einem 35-jährigen Kunden mit einer Familie (verheiratet, 3 Kinder) ist es wichtig, eine ausreichende Summe für solche Anpassungen vorzusehen. Die Summe von 50.000 € ist eine gängige Empfehlung für Personen mit mittlerem Risiko und familiären Verpflichtungen, um die finanziellen Auswirkungen einer dauerhaften Invalidität abzufedern.","berechnungslogik_baustein_2":"Die monatliche Unfallrente wird auf 1.000 € festgelegt. Dies basiert auf der Annahme, dass die gesetzliche Invaliditätspension bei einem Invaliditätsgrad von über 50 % etwa 60 % des letzten Nettoeinkommens beträgt, was in diesem Fall ca. 1.080 € wäre. Um die Versorgungslücke zu schließen und den Lebensstandard der Familie zu sichern, wird eine zusätzliche private Unfallrente von 1.000 € empfohlen. Dies stellt sicher, dass der Einkommensausfall durch die Invalidität angemessen kompensiert wird, insbesondere angesichts der Unterhaltspflichten gegenüber der Ehefrau und den drei Kindern.","getroffene_annahmen":"Es wird angenommen, dass die gesetzliche Invaliditätspension etwa 60 % des letzten Nettoeinkommens beträgt. Diese Annahme basiert auf typischen Berechnungen für die Invaliditätspension nach dem ASVG. Es wird auch angenommen, dass die Familie des Kunden auf das Einkommen angewiesen ist, um den aktuellen Lebensstandard zu halten."}</t>
  </si>
  <si>
    <t>["Alter: 35 Jahre", "Nettoeinkommen: 1.800 €/Monat", "Berufsrisiko: Handwerker", "Unterhaltspflichten: ledig, keine Kinder"]</t>
  </si>
  <si>
    <t>Für die einmalige Invaliditätsleistung wird angenommen, dass im Falle einer dauerhaften Invalidität durch Unfall einmalige Kosten für Wohnungsadaptierung, Rehabilitation und Hilfsmittel anfallen. Bei einem Handwerker, der körperlich arbeitet, sind diese Kosten tendenziell höher. Ein Betrag von 50.000 € wird als angemessen erachtet, um diese Kosten zu decken, basierend auf Erfahrungswerten für ähnliche Berufsgruppen.</t>
  </si>
  <si>
    <t>Die monatliche Unfallrente soll den Einkommensausfall ausgleichen. Bei einem Nettoeinkommen von 1.800 €/Monat und einem angenommenen gesetzlichen Invaliditätspensionsanspruch von ca. 900 €/Monat (50% des Nettoeinkommens) ergibt sich eine Versorgungslücke von 900 €/Monat. Diese Lücke wird durch die private Unfallrente geschlossen.</t>
  </si>
  <si>
    <t>Es wird angenommen, dass die gesetzliche Invaliditätspension bei 50% des Nettoeinkommens liegt, was bei einem Nettoeinkommen von 1.800 €/Monat etwa 900 €/Monat entspricht. Es wird weiterhin angenommen, dass die einmaligen Kosten im Invaliditätsfall für einen Handwerker bei etwa 50.000 € liegen, basierend auf Erfahrungswerten für Wohnungsadaptierung, Rehabilitation und Hilfsmittel.</t>
  </si>
  <si>
    <t>{"baustein_1_einmalzahlung_eur":50000,"baustein_2_unfallrente_monatlich_eur":900,"beruecksichtigte_faktoren":["Alter: 35 Jahre","Nettoeinkommen: 1.800 €/Monat","Berufsrisiko: Handwerker","Unterhaltspflichten: ledig, keine Kinder"],"berechnungslogik_baustein_1":"Für die einmalige Invaliditätsleistung wird angenommen, dass im Falle einer dauerhaften Invalidität durch Unfall einmalige Kosten für Wohnungsadaptierung, Rehabilitation und Hilfsmittel anfallen. Bei einem Handwerker, der körperlich arbeitet, sind diese Kosten tendenziell höher. Ein Betrag von 50.000 € wird als angemessen erachtet, um diese Kosten zu decken, basierend auf Erfahrungswerten für ähnliche Berufsgruppen.","berechnungslogik_baustein_2":"Die monatliche Unfallrente soll den Einkommensausfall ausgleichen. Bei einem Nettoeinkommen von 1.800 €/Monat und einem angenommenen gesetzlichen Invaliditätspensionsanspruch von ca. 900 €/Monat (50% des Nettoeinkommens) ergibt sich eine Versorgungslücke von 900 €/Monat. Diese Lücke wird durch die private Unfallrente geschlossen.","getroffene_annahmen":"Es wird angenommen, dass die gesetzliche Invaliditätspension bei 50% des Nettoeinkommens liegt, was bei einem Nettoeinkommen von 1.800 €/Monat etwa 900 €/Monat entspricht. Es wird weiterhin angenommen, dass die einmaligen Kosten im Invaliditätsfall für einen Handwerker bei etwa 50.000 € liegen, basierend auf Erfahrungswerten für Wohnungsadaptierung, Rehabilitation und Hilfsmittel."}</t>
  </si>
  <si>
    <t>["Alter des Kunden: 35 Jahre", "Monatliches Nettoeinkommen: 1.800 Euro", "Beruf: Handwerker", "Familienstand: ledig, keine Kinder, keine Unterhaltspflichten"]</t>
  </si>
  <si>
    <t>Für die einmalige Invaliditätsleistung wird angenommen, dass der Kunde im Falle einer dauernden Invalidität Anpassungen an seiner Wohnsituation vornehmen muss, wie z.B. barrierefreier Umbau, sowie Kosten für Rehabilitation und Hilfsmittel. Ein Betrag von 50.000 Euro wird als angemessen erachtet, um diese einmaligen Kosten zu decken. Dieser Betrag basiert auf durchschnittlichen Kosten für Wohnungsanpassungen (ca. 30.000 Euro) und zusätzlichen Kosten für Rehabilitation und Hilfsmittel (ca. 20.000 Euro).</t>
  </si>
  <si>
    <t>Die monatliche Unfallrente soll den Einkommensausfall ausgleichen. Der Kunde hat ein monatliches Nettoeinkommen von 1.800 Euro. Die gesetzliche Invaliditätspension nach ASVG beträgt bei einem Invaliditätsgrad von 50% etwa 50% des letzten Nettoeinkommens, also ca. 900 Euro. Um die Versorgungslücke zu schließen, wird eine private Unfallrente von 900 Euro empfohlen, um das ursprüngliche Einkommen zu erreichen.</t>
  </si>
  <si>
    <t>Es wird angenommen, dass die gesetzliche Invaliditätspension bei einem Invaliditätsgrad von 50% etwa 50% des letzten Nettoeinkommens beträgt. Die Kosten für Wohnungsanpassungen und Hilfsmittel basieren auf durchschnittlichen Marktwerten.</t>
  </si>
  <si>
    <t>{"baustein_1_einmalzahlung_eur":50000,"baustein_2_unfallrente_monatlich_eur":900,"beruecksichtigte_faktoren":["Alter des Kunden: 35 Jahre","Monatliches Nettoeinkommen: 1.800 Euro","Beruf: Handwerker","Familienstand: ledig, keine Kinder, keine Unterhaltspflichten"],"berechnungslogik_baustein_1":"Für die einmalige Invaliditätsleistung wird angenommen, dass der Kunde im Falle einer dauernden Invalidität Anpassungen an seiner Wohnsituation vornehmen muss, wie z.B. barrierefreier Umbau, sowie Kosten für Rehabilitation und Hilfsmittel. Ein Betrag von 50.000 Euro wird als angemessen erachtet, um diese einmaligen Kosten zu decken. Dieser Betrag basiert auf durchschnittlichen Kosten für Wohnungsanpassungen (ca. 30.000 Euro) und zusätzlichen Kosten für Rehabilitation und Hilfsmittel (ca. 20.000 Euro).","berechnungslogik_baustein_2":"Die monatliche Unfallrente soll den Einkommensausfall ausgleichen. Der Kunde hat ein monatliches Nettoeinkommen von 1.800 Euro. Die gesetzliche Invaliditätspension nach ASVG beträgt bei einem Invaliditätsgrad von 50% etwa 50% des letzten Nettoeinkommens, also ca. 900 Euro. Um die Versorgungslücke zu schließen, wird eine private Unfallrente von 900 Euro empfohlen, um das ursprüngliche Einkommen zu erreichen.","getroffene_annahmen":"Es wird angenommen, dass die gesetzliche Invaliditätspension bei einem Invaliditätsgrad von 50% etwa 50% des letzten Nettoeinkommens beträgt. Die Kosten für Wohnungsanpassungen und Hilfsmittel basieren auf durchschnittlichen Marktwerten."}</t>
  </si>
  <si>
    <t>Für die einmalige Invaliditätsleistung wird angenommen, dass im Falle einer dauerhaften Invalidität durch Unfall einmalige Kosten für Wohnungsadaptierung, Rehabilitation und Hilfsmittel anfallen. Bei einem Handwerker, der körperlich arbeitet, sind diese Kosten tendenziell höher. Ein Betrag von 50.000 EUR wird als angemessen erachtet, um diese einmaligen Kosten zu decken, basierend auf Erfahrungswerten für ähnliche Berufsgruppen.</t>
  </si>
  <si>
    <t>Die monatliche Unfallrente soll den Einkommensausfall ausgleichen. Bei einem Nettoeinkommen von 1.800 EUR/Monat und einem angenommenen gesetzlichen Invaliditätspensionsanspruch von ca. 50% des letzten Einkommens (900 EUR/Monat), ergibt sich eine Versorgungslücke von 900 EUR/Monat. Daher wird eine Unfallrente von 900 EUR/Monat empfohlen, um den Einkommensausfall vollständig auszugleichen.</t>
  </si>
  <si>
    <t>Es wird angenommen, dass die gesetzliche Invaliditätspension etwa 50% des letzten Nettoeinkommens beträgt, basierend auf allgemeinen Erfahrungswerten für die ASVG-Invaliditätspension. Es wird weiterhin angenommen, dass der Kunde keine weiteren Einkommensquellen oder Vermögenswerte hat, die im Invaliditätsfall zur Verfügung stehen würden.</t>
  </si>
  <si>
    <t>{"baustein_1_einmalzahlung_eur":50000,"baustein_2_unfallrente_monatlich_eur":900,"beruecksichtigte_faktoren":["Alter: 35 Jahre","Nettoeinkommen: 1.800 €/Monat","Berufsrisiko: Handwerker","Unterhaltspflichten: ledig, keine Kinder"],"berechnungslogik_baustein_1":"Für die einmalige Invaliditätsleistung wird angenommen, dass im Falle einer dauerhaften Invalidität durch Unfall einmalige Kosten für Wohnungsadaptierung, Rehabilitation und Hilfsmittel anfallen. Bei einem Handwerker, der körperlich arbeitet, sind diese Kosten tendenziell höher. Ein Betrag von 50.000 EUR wird als angemessen erachtet, um diese einmaligen Kosten zu decken, basierend auf Erfahrungswerten für ähnliche Berufsgruppen.","berechnungslogik_baustein_2":"Die monatliche Unfallrente soll den Einkommensausfall ausgleichen. Bei einem Nettoeinkommen von 1.800 EUR/Monat und einem angenommenen gesetzlichen Invaliditätspensionsanspruch von ca. 50% des letzten Einkommens (900 EUR/Monat), ergibt sich eine Versorgungslücke von 900 EUR/Monat. Daher wird eine Unfallrente von 900 EUR/Monat empfohlen, um den Einkommensausfall vollständig auszugleichen.","getroffene_annahmen":"Es wird angenommen, dass die gesetzliche Invaliditätspension etwa 50% des letzten Nettoeinkommens beträgt, basierend auf allgemeinen Erfahrungswerten für die ASVG-Invaliditätspension. Es wird weiterhin angenommen, dass der Kunde keine weiteren Einkommensquellen oder Vermögenswerte hat, die im Invaliditätsfall zur Verfügung stehen würden."}</t>
  </si>
  <si>
    <t>["Alter: 35 Jahre", "Nettoeinkommen: 1.800 €/Monat", "Berufsrisiko: Handwerker", "Unterhaltspflichten: verheiratet, 3 Kinder"]</t>
  </si>
  <si>
    <t>Die einmalige Invaliditätsleistung soll die Kosten für Wohnungsadaptierung, Rehabilitation und Hilfsmittel abdecken. Bei einem Handwerker mit einem hohen Berufsrisiko und einer Familie mit 3 Kindern ist eine höhere Summe erforderlich. Durchschnittliche Kosten für Wohnungsanpassungen und Hilfsmittel können bei 50.000 € liegen. Rehabilitation und zusätzliche Anpassungen können weitere 50.000 € erfordern. Daher wird eine Summe von 100.000 € empfohlen.</t>
  </si>
  <si>
    <t>Die monatliche Unfallrente soll den Einkommensausfall ausgleichen. Bei einem Nettoeinkommen von 1.800 €/Monat und einem angenommenen gesetzlichen Invaliditätspensionsanspruch von ca. 900 €/Monat (50% des Nettoeinkommens) ergibt sich eine Versorgungslücke von 900 €/Monat. Diese Lücke soll durch die private Unfallrente geschlossen werden.</t>
  </si>
  <si>
    <t>Es wird angenommen, dass die gesetzliche Invaliditätspension bei 50% des Nettoeinkommens liegt, basierend auf typischen ASVG-Leistungen. Die Kosten für Wohnungsanpassungen und Hilfsmittel werden auf 50.000 € geschätzt, basierend auf durchschnittlichen Marktwerten. Rehabilitation und zusätzliche Anpassungen werden ebenfalls auf 50.000 € geschätzt.</t>
  </si>
  <si>
    <t>{"baustein_1_einmalzahlung_eur":100000,"baustein_2_unfallrente_monatlich_eur":900,"beruecksichtigte_faktoren":["Alter: 35 Jahre","Nettoeinkommen: 1.800 €/Monat","Berufsrisiko: Handwerker","Unterhaltspflichten: verheiratet, 3 Kinder"],"berechnungslogik_baustein_1":"Die einmalige Invaliditätsleistung soll die Kosten für Wohnungsadaptierung, Rehabilitation und Hilfsmittel abdecken. Bei einem Handwerker mit einem hohen Berufsrisiko und einer Familie mit 3 Kindern ist eine höhere Summe erforderlich. Durchschnittliche Kosten für Wohnungsanpassungen und Hilfsmittel können bei 50.000 € liegen. Rehabilitation und zusätzliche Anpassungen können weitere 50.000 € erfordern. Daher wird eine Summe von 100.000 € empfohlen.","berechnungslogik_baustein_2":"Die monatliche Unfallrente soll den Einkommensausfall ausgleichen. Bei einem Nettoeinkommen von 1.800 €/Monat und einem angenommenen gesetzlichen Invaliditätspensionsanspruch von ca. 900 €/Monat (50% des Nettoeinkommens) ergibt sich eine Versorgungslücke von 900 €/Monat. Diese Lücke soll durch die private Unfallrente geschlossen werden.","getroffene_annahmen":"Es wird angenommen, dass die gesetzliche Invaliditätspension bei 50% des Nettoeinkommens liegt, basierend auf typischen ASVG-Leistungen. Die Kosten für Wohnungsanpassungen und Hilfsmittel werden auf 50.000 € geschätzt, basierend auf durchschnittlichen Marktwerten. Rehabilitation und zusätzliche Anpassungen werden ebenfalls auf 50.000 € geschätzt."}</t>
  </si>
  <si>
    <t>["Alter des Kunden: 35 Jahre", "Monatliches Nettoeinkommen: 1.800 Euro", "Beruf: Handwerker", "Familienstand: verheiratet", "Anzahl der Kinder: 3", "Unterhaltspflichten"]</t>
  </si>
  <si>
    <t>Für die einmalige Invaliditätsleistung wird eine Summe von 100.000 Euro empfohlen. Diese Summe berücksichtigt die Notwendigkeit, das Zuhause für einen behindertengerechten Zugang anzupassen, mögliche Rehabilitationskosten und die Anschaffung von Hilfsmitteln. Die Referenzwerte für Wohnungsadaptierung und Hilfsmittel liegen bei etwa 50.000 bis 100.000 Euro. Aufgrund der familiären Verpflichtungen und der Tatsache, dass der Kunde als Handwerker körperlich arbeitet, wird der obere Bereich der Referenzwerte gewählt.</t>
  </si>
  <si>
    <t>Die monatliche Unfallrente wird auf 900 Euro festgelegt. Dies basiert auf der Annahme, dass die gesetzliche Invaliditätspension bei etwa 60% des letzten Nettoeinkommens liegt, was ca. 1.080 Euro entspricht. Um den vollen Einkommensausfall von 1.800 Euro zu kompensieren, wird eine zusätzliche private Unfallrente von 900 Euro benötigt, um die Versorgungslücke zu schließen.</t>
  </si>
  <si>
    <t>Es wird angenommen, dass die gesetzliche Invaliditätspension etwa 60% des letzten Nettoeinkommens beträgt. Die Berechnung basiert auf der Annahme, dass der Kunde bei einem Invaliditätsgrad von 50% oder mehr Anspruch auf die private Unfallrente hat. Es wird auch angenommen, dass die Kosten für Wohnungsadaptierung und Hilfsmittel im oberen Bereich der Referenzwerte liegen, da der Kunde als Handwerker körperlich arbeitet und eine größere Anpassung erforderlich sein könnte.</t>
  </si>
  <si>
    <t>{"baustein_1_einmalzahlung_eur":100000,"baustein_2_unfallrente_monatlich_eur":900,"beruecksichtigte_faktoren":["Alter des Kunden: 35 Jahre","Monatliches Nettoeinkommen: 1.800 Euro","Beruf: Handwerker","Familienstand: verheiratet","Anzahl der Kinder: 3","Unterhaltspflichten"],"berechnungslogik_baustein_1":"Für die einmalige Invaliditätsleistung wird eine Summe von 100.000 Euro empfohlen. Diese Summe berücksichtigt die Notwendigkeit, das Zuhause für einen behindertengerechten Zugang anzupassen, mögliche Rehabilitationskosten und die Anschaffung von Hilfsmitteln. Die Referenzwerte für Wohnungsadaptierung und Hilfsmittel liegen bei etwa 50.000 bis 100.000 Euro. Aufgrund der familiären Verpflichtungen und der Tatsache, dass der Kunde als Handwerker körperlich arbeitet, wird der obere Bereich der Referenzwerte gewählt.","berechnungslogik_baustein_2":"Die monatliche Unfallrente wird auf 900 Euro festgelegt. Dies basiert auf der Annahme, dass die gesetzliche Invaliditätspension bei etwa 60% des letzten Nettoeinkommens liegt, was ca. 1.080 Euro entspricht. Um den vollen Einkommensausfall von 1.800 Euro zu kompensieren, wird eine zusätzliche private Unfallrente von 900 Euro benötigt, um die Versorgungslücke zu schließen.","getroffene_annahmen":"Es wird angenommen, dass die gesetzliche Invaliditätspension etwa 60% des letzten Nettoeinkommens beträgt. Die Berechnung basiert auf der Annahme, dass der Kunde bei einem Invaliditätsgrad von 50% oder mehr Anspruch auf die private Unfallrente hat. Es wird auch angenommen, dass die Kosten für Wohnungsadaptierung und Hilfsmittel im oberen Bereich der Referenzwerte liegen, da der Kunde als Handwerker körperlich arbeitet und eine größere Anpassung erforderlich sein könnte."}</t>
  </si>
  <si>
    <t>Die einmalige Invaliditätsleistung soll die Kosten für Wohnungsadaptierung, Rehabilitation und Hilfsmittel abdecken. Bei einem Handwerker mit einem hohen Berufsrisiko und einer Familie mit 3 Kindern ist eine höhere Summe erforderlich. Durchschnittliche Kosten für Wohnungsanpassungen und Hilfsmittel können bei schwerer Invalidität bis zu 100.000 € betragen. Zusätzlich werden 50.000 € für Rehabilitation und sonstige unvorhergesehene Kosten veranschlagt. Gesamt: 150.000 €.</t>
  </si>
  <si>
    <t>Die monatliche Unfallrente soll den Einkommensausfall ausgleichen. Bei einem Nettoeinkommen von 1.800 €/Monat und einer Familie mit 3 Kindern ist eine Absicherung von 2/3 des Einkommens sinnvoll, um den Lebensstandard zu halten. Dies ergibt 1.200 €/Monat. Die gesetzliche Invaliditätspension wird hier nicht berücksichtigt, da sie stark variieren kann und oft nicht ausreicht, um den Lebensstandard zu sichern.</t>
  </si>
  <si>
    <t>Es wird angenommen, dass die gesetzliche Invaliditätspension nicht ausreicht, um den Lebensstandard zu sichern. Die Kosten für Wohnungsanpassungen und Hilfsmittel werden auf Basis von Erfahrungswerten geschätzt. Es wird davon ausgegangen, dass der Kunde keine weiteren Einkommensquellen hat.</t>
  </si>
  <si>
    <t>{"baustein_1_einmalzahlung_eur":150000,"baustein_2_unfallrente_monatlich_eur":1200,"beruecksichtigte_faktoren":["Alter: 35 Jahre","Nettoeinkommen: 1.800 €/Monat","Berufsrisiko: Handwerker","Unterhaltspflichten: verheiratet, 3 Kinder"],"berechnungslogik_baustein_1":"Die einmalige Invaliditätsleistung soll die Kosten für Wohnungsadaptierung, Rehabilitation und Hilfsmittel abdecken. Bei einem Handwerker mit einem hohen Berufsrisiko und einer Familie mit 3 Kindern ist eine höhere Summe erforderlich. Durchschnittliche Kosten für Wohnungsanpassungen und Hilfsmittel können bei schwerer Invalidität bis zu 100.000 € betragen. Zusätzlich werden 50.000 € für Rehabilitation und sonstige unvorhergesehene Kosten veranschlagt. Gesamt: 150.000 €.","berechnungslogik_baustein_2":"Die monatliche Unfallrente soll den Einkommensausfall ausgleichen. Bei einem Nettoeinkommen von 1.800 €/Monat und einer Familie mit 3 Kindern ist eine Absicherung von 2/3 des Einkommens sinnvoll, um den Lebensstandard zu halten. Dies ergibt 1.200 €/Monat. Die gesetzliche Invaliditätspension wird hier nicht berücksichtigt, da sie stark variieren kann und oft nicht ausreicht, um den Lebensstandard zu sichern.","getroffene_annahmen":"Es wird angenommen, dass die gesetzliche Invaliditätspension nicht ausreicht, um den Lebensstandard zu sichern. Die Kosten für Wohnungsanpassungen und Hilfsmittel werden auf Basis von Erfahrungswerten geschätzt. Es wird davon ausgegangen, dass der Kunde keine weiteren Einkommensquellen hat."}</t>
  </si>
  <si>
    <t>["Alter: 35 Jahre", "Nettoeinkommen: 1.800 €/Monat", "Berufsrisiko: Dachdecker/Gerüstbauer", "Unterhaltspflichten: ledig, keine Kinder"]</t>
  </si>
  <si>
    <t>Für die einmalige Invaliditätsleistung wird eine Summe benötigt, die die Kosten für Wohnungsadaptierung, Rehabilitation und Hilfsmittel abdeckt. Bei einem Berufsrisiko als Dachdecker/Gerüstbauer ist das Unfallrisiko erhöht, was höhere Anpassungskosten im Invaliditätsfall nach sich ziehen kann. Ein Betrag von 50.000 € wird als angemessen erachtet, um diese einmaligen Kosten zu decken, basierend auf Erfahrungswerten für bauliche Anpassungen und medizinische Hilfsmittel.</t>
  </si>
  <si>
    <t>Die monatliche Unfallrente soll den Einkommensausfall ausgleichen. Bei einem Nettoeinkommen von 1.800 €/Monat und einem Berufsrisiko als Dachdecker/Gerüstbauer wird ein Invaliditätsgrad von 50 % angenommen, was zu einem Einkommensverlust von 900 €/Monat führt. Die gesetzliche Invaliditätspension wird geschätzt auf ca. 900 €/Monat (50 % des Nettoeinkommens), daher wird eine zusätzliche Unfallrente von 900 €/Monat empfohlen, um den vollen Einkommensausfall zu kompensieren.</t>
  </si>
  <si>
    <t>Es wird angenommen, dass die gesetzliche Invaliditätspension bei einem Invaliditätsgrad von 50 % etwa 50 % des Nettoeinkommens beträgt. Es wird weiterhin angenommen, dass die Kosten für Wohnungsadaptierung und Hilfsmittel bei einem erhöhten Berufsrisiko höher ausfallen.</t>
  </si>
  <si>
    <t>{"baustein_1_einmalzahlung_eur":50000,"baustein_2_unfallrente_monatlich_eur":900,"beruecksichtigte_faktoren":["Alter: 35 Jahre","Nettoeinkommen: 1.800 €/Monat","Berufsrisiko: Dachdecker/Gerüstbauer","Unterhaltspflichten: ledig, keine Kinder"],"berechnungslogik_baustein_1":"Für die einmalige Invaliditätsleistung wird eine Summe benötigt, die die Kosten für Wohnungsadaptierung, Rehabilitation und Hilfsmittel abdeckt. Bei einem Berufsrisiko als Dachdecker/Gerüstbauer ist das Unfallrisiko erhöht, was höhere Anpassungskosten im Invaliditätsfall nach sich ziehen kann. Ein Betrag von 50.000 € wird als angemessen erachtet, um diese einmaligen Kosten zu decken, basierend auf Erfahrungswerten für bauliche Anpassungen und medizinische Hilfsmittel.","berechnungslogik_baustein_2":"Die monatliche Unfallrente soll den Einkommensausfall ausgleichen. Bei einem Nettoeinkommen von 1.800 €/Monat und einem Berufsrisiko als Dachdecker/Gerüstbauer wird ein Invaliditätsgrad von 50 % angenommen, was zu einem Einkommensverlust von 900 €/Monat führt. Die gesetzliche Invaliditätspension wird geschätzt auf ca. 900 €/Monat (50 % des Nettoeinkommens), daher wird eine zusätzliche Unfallrente von 900 €/Monat empfohlen, um den vollen Einkommensausfall zu kompensieren.","getroffene_annahmen":"Es wird angenommen, dass die gesetzliche Invaliditätspension bei einem Invaliditätsgrad von 50 % etwa 50 % des Nettoeinkommens beträgt. Es wird weiterhin angenommen, dass die Kosten für Wohnungsadaptierung und Hilfsmittel bei einem erhöhten Berufsrisiko höher ausfallen."}</t>
  </si>
  <si>
    <t>["Alter des Kunden: 35 Jahre", "Beruf des Kunden: Dachdecker/Gerüstbauer", "Monatliches Nettoeinkommen: 1.800 Euro", "Familienstand: ledig, keine Kinder, keine Unterhaltspflichten"]</t>
  </si>
  <si>
    <t>Für die einmalige Invaliditätsleistung wird angenommen, dass im Falle einer dauerhaften Invalidität durch Unfall erhebliche einmalige Kosten entstehen können, wie z.B. Wohnungsadaptierung, Rehabilitation und Anschaffung von Hilfsmitteln. Aufgrund des Berufs als Dachdecker/Gerüstbauer, der ein höheres Unfallrisiko birgt, wird eine höhere Summe angesetzt. Ein Betrag von 50.000 Euro wird als angemessen erachtet, um diese Kosten zu decken, basierend auf Erfahrungswerten für ähnliche Berufsgruppen.</t>
  </si>
  <si>
    <t>Die monatliche Unfallrente soll den Einkommensausfall ausgleichen. Der Kunde hat ein monatliches Nettoeinkommen von 1.800 Euro. Bei einer dauerhaften Invalidität wird angenommen, dass die gesetzliche Invaliditätspension etwa 50% des letzten Einkommens beträgt, also ca. 900 Euro. Um die Versorgungslücke zu schließen, wird eine private Unfallrente in Höhe von 900 Euro empfohlen, um das ursprüngliche Einkommen zu erreichen.</t>
  </si>
  <si>
    <t>Es wird angenommen, dass die gesetzliche Invaliditätspension etwa 50% des letzten Nettoeinkommens beträgt. Es wird weiterhin angenommen, dass der Beruf des Kunden ein höheres Unfallrisiko birgt, was eine höhere einmalige Invaliditätsleistung rechtfertigt.</t>
  </si>
  <si>
    <t>{"baustein_1_einmalzahlung_eur":50000,"baustein_2_unfallrente_monatlich_eur":900,"beruecksichtigte_faktoren":["Alter des Kunden: 35 Jahre","Beruf des Kunden: Dachdecker/Gerüstbauer","Monatliches Nettoeinkommen: 1.800 Euro","Familienstand: ledig, keine Kinder, keine Unterhaltspflichten"],"berechnungslogik_baustein_1":"Für die einmalige Invaliditätsleistung wird angenommen, dass im Falle einer dauerhaften Invalidität durch Unfall erhebliche einmalige Kosten entstehen können, wie z.B. Wohnungsadaptierung, Rehabilitation und Anschaffung von Hilfsmitteln. Aufgrund des Berufs als Dachdecker/Gerüstbauer, der ein höheres Unfallrisiko birgt, wird eine höhere Summe angesetzt. Ein Betrag von 50.000 Euro wird als angemessen erachtet, um diese Kosten zu decken, basierend auf Erfahrungswerten für ähnliche Berufsgruppen.","berechnungslogik_baustein_2":"Die monatliche Unfallrente soll den Einkommensausfall ausgleichen. Der Kunde hat ein monatliches Nettoeinkommen von 1.800 Euro. Bei einer dauerhaften Invalidität wird angenommen, dass die gesetzliche Invaliditätspension etwa 50% des letzten Einkommens beträgt, also ca. 900 Euro. Um die Versorgungslücke zu schließen, wird eine private Unfallrente in Höhe von 900 Euro empfohlen, um das ursprüngliche Einkommen zu erreichen.","getroffene_annahmen":"Es wird angenommen, dass die gesetzliche Invaliditätspension etwa 50% des letzten Nettoeinkommens beträgt. Es wird weiterhin angenommen, dass der Beruf des Kunden ein höheres Unfallrisiko birgt, was eine höhere einmalige Invaliditätsleistung rechtfertigt."}</t>
  </si>
  <si>
    <t>Für die einmalige Invaliditätsleistung wird eine Summe von 100.000 EUR empfohlen. Diese Summe berücksichtigt die hohen Kosten, die durch eine dauerhafte Invalidität entstehen können, wie z.B. Wohnungsanpassungen, Rehabilitation und Hilfsmittel. Aufgrund des hohen Berufsrisikos als Dachdecker/Gerüstbauer ist die Wahrscheinlichkeit eines Unfalls höher, was eine höhere Absicherung rechtfertigt. Der Betrag von 100.000 EUR ist eine gängige Empfehlung für Berufe mit hohem Risiko, um die einmaligen Kosten im Invaliditätsfall abzudecken.</t>
  </si>
  <si>
    <t>Die monatliche Unfallrente wird auf 900 EUR festgelegt. Dies entspricht 50% des aktuellen Nettoeinkommens von 1.800 EUR. Da die gesetzliche Invaliditätspension in Österreich bei einem Invaliditätsgrad von 50% oder mehr nur einen Teil des Einkommensausfalls abdeckt, wird die private Unfallrente so bemessen, dass sie die Versorgungslücke schließt. Die Annahme ist, dass die gesetzliche Leistung etwa 50% des Nettoeinkommens abdeckt, daher wird die private Rente auf 50% des Nettoeinkommens festgelegt, um den vollen Einkommensausfall auszugleichen.</t>
  </si>
  <si>
    <t>Es wird angenommen, dass die gesetzliche Invaliditätspension etwa 50% des Nettoeinkommens abdeckt. Diese Annahme basiert auf typischen Berechnungen für die gesetzliche Invaliditätspension in Österreich. Es wird weiterhin angenommen, dass der Kunde keine weiteren Einkommensquellen oder Vermögenswerte hat, die im Invaliditätsfall zur Verfügung stehen würden.</t>
  </si>
  <si>
    <t>{"baustein_1_einmalzahlung_eur":100000,"baustein_2_unfallrente_monatlich_eur":900,"beruecksichtigte_faktoren":["Alter: 35 Jahre","Nettoeinkommen: 1.800 €/Monat","Berufsrisiko: Dachdecker/Gerüstbauer","Unterhaltspflichten: ledig, keine Kinder"],"berechnungslogik_baustein_1":"Für die einmalige Invaliditätsleistung wird eine Summe von 100.000 EUR empfohlen. Diese Summe berücksichtigt die hohen Kosten, die durch eine dauerhafte Invalidität entstehen können, wie z.B. Wohnungsanpassungen, Rehabilitation und Hilfsmittel. Aufgrund des hohen Berufsrisikos als Dachdecker/Gerüstbauer ist die Wahrscheinlichkeit eines Unfalls höher, was eine höhere Absicherung rechtfertigt. Der Betrag von 100.000 EUR ist eine gängige Empfehlung für Berufe mit hohem Risiko, um die einmaligen Kosten im Invaliditätsfall abzudecken.","berechnungslogik_baustein_2":"Die monatliche Unfallrente wird auf 900 EUR festgelegt. Dies entspricht 50% des aktuellen Nettoeinkommens von 1.800 EUR. Da die gesetzliche Invaliditätspension in Österreich bei einem Invaliditätsgrad von 50% oder mehr nur einen Teil des Einkommensausfalls abdeckt, wird die private Unfallrente so bemessen, dass sie die Versorgungslücke schließt. Die Annahme ist, dass die gesetzliche Leistung etwa 50% des Nettoeinkommens abdeckt, daher wird die private Rente auf 50% des Nettoeinkommens festgelegt, um den vollen Einkommensausfall auszugleichen.","getroffene_annahmen":"Es wird angenommen, dass die gesetzliche Invaliditätspension etwa 50% des Nettoeinkommens abdeckt. Diese Annahme basiert auf typischen Berechnungen für die gesetzliche Invaliditätspension in Österreich. Es wird weiterhin angenommen, dass der Kunde keine weiteren Einkommensquellen oder Vermögenswerte hat, die im Invaliditätsfall zur Verfügung stehen würden."}</t>
  </si>
  <si>
    <t>["Alter: 35 Jahre", "Nettoeinkommen: 1.800 €/Monat", "Berufsrisiko: Dachdecker/Gerüstbauer", "Unterhaltspflichten: verheiratet, 3 Kinder"]</t>
  </si>
  <si>
    <t>Die einmalige Invaliditätsleistung soll die Kosten für Wohnungsadaptierung, Rehabilitation und Hilfsmittel abdecken. Bei einem hohen Berufsrisiko und einer Familie mit 3 Kindern ist eine höhere Summe erforderlich. Durchschnittliche Kosten für Wohnungsanpassungen und Hilfsmittel können bei schwerer Invalidität bis zu 100.000 € betragen. Daher wird eine Einmalzahlung von 100.000 € empfohlen.</t>
  </si>
  <si>
    <t>Die monatliche Unfallrente soll den Einkommensausfall ausgleichen. Bei einem Nettoeinkommen von 1.800 €/Monat und einem hohen Berufsrisiko wird eine Rente von 2/3 des Einkommens empfohlen, um die Versorgungslücke zu schließen. Dies ergibt 1.200 €/Monat (1.800 € * 2/3).</t>
  </si>
  <si>
    <t>Es wird angenommen, dass die gesetzliche Invaliditätspension bei einem Invaliditätsgrad von 50 % oder mehr nicht ausreicht, um den Lebensstandard zu halten, insbesondere bei einer Familie mit 3 Kindern. Die Referenzwerte für Wohnungsanpassungen und Hilfsmittel basieren auf durchschnittlichen Kosten bei schwerer Invalidität.</t>
  </si>
  <si>
    <t>{"baustein_1_einmalzahlung_eur":100000,"baustein_2_unfallrente_monatlich_eur":1200,"beruecksichtigte_faktoren":["Alter: 35 Jahre","Nettoeinkommen: 1.800 €/Monat","Berufsrisiko: Dachdecker/Gerüstbauer","Unterhaltspflichten: verheiratet, 3 Kinder"],"berechnungslogik_baustein_1":"Die einmalige Invaliditätsleistung soll die Kosten für Wohnungsadaptierung, Rehabilitation und Hilfsmittel abdecken. Bei einem hohen Berufsrisiko und einer Familie mit 3 Kindern ist eine höhere Summe erforderlich. Durchschnittliche Kosten für Wohnungsanpassungen und Hilfsmittel können bei schwerer Invalidität bis zu 100.000 € betragen. Daher wird eine Einmalzahlung von 100.000 € empfohlen.","berechnungslogik_baustein_2":"Die monatliche Unfallrente soll den Einkommensausfall ausgleichen. Bei einem Nettoeinkommen von 1.800 €/Monat und einem hohen Berufsrisiko wird eine Rente von 2/3 des Einkommens empfohlen, um die Versorgungslücke zu schließen. Dies ergibt 1.200 €/Monat (1.800 € * 2/3).","getroffene_annahmen":"Es wird angenommen, dass die gesetzliche Invaliditätspension bei einem Invaliditätsgrad von 50 % oder mehr nicht ausreicht, um den Lebensstandard zu halten, insbesondere bei einer Familie mit 3 Kindern. Die Referenzwerte für Wohnungsanpassungen und Hilfsmittel basieren auf durchschnittlichen Kosten bei schwerer Invalidität."}</t>
  </si>
  <si>
    <t>["Alter des Kunden: 35 Jahre", "Beruf des Kunden: Dachdecker/Gerüstbauer", "Monatliches Nettoeinkommen: 1.800 Euro", "Familienstand: verheiratet", "Anzahl der Kinder: 3", "Unterhaltspflichten"]</t>
  </si>
  <si>
    <t>Für die einmalige Invaliditätsleistung wird angenommen, dass im Falle einer dauerhaften Invalidität erhebliche Anpassungen an der Wohnsituation erforderlich sind, insbesondere aufgrund der körperlich anspruchsvollen Tätigkeit des Kunden. Die Kosten für Wohnungsadaptierung, Rehabilitation und Hilfsmittel werden auf 150.000 Euro geschätzt. Diese Schätzung basiert auf Erfahrungswerten für bauliche Anpassungen und medizinische Hilfsmittel bei schwerer körperlicher Beeinträchtigung.</t>
  </si>
  <si>
    <t>Die monatliche Unfallrente soll den Einkommensausfall abdecken. Bei einem Nettoeinkommen von 1.800 Euro und unter Berücksichtigung der gesetzlichen Invaliditätspension, die bei etwa 50% des letzten Einkommens liegt (ca. 900 Euro), ergibt sich eine Versorgungslücke von 900 Euro. Daher wird eine monatliche Unfallrente von 900 Euro empfohlen, um den Lebensstandard des Kunden und seiner Familie zu sichern.</t>
  </si>
  <si>
    <t>Es wird angenommen, dass die gesetzliche Invaliditätspension etwa 50% des letzten Nettoeinkommens beträgt. Die Schätzung der Kosten für Wohnungsadaptierung und Hilfsmittel basiert auf Erfahrungswerten für körperlich beeinträchtigte Personen in handwerklichen Berufen.</t>
  </si>
  <si>
    <t>{"baustein_1_einmalzahlung_eur":150000,"baustein_2_unfallrente_monatlich_eur":900,"beruecksichtigte_faktoren":["Alter des Kunden: 35 Jahre","Beruf des Kunden: Dachdecker/Gerüstbauer","Monatliches Nettoeinkommen: 1.800 Euro","Familienstand: verheiratet","Anzahl der Kinder: 3","Unterhaltspflichten"],"berechnungslogik_baustein_1":"Für die einmalige Invaliditätsleistung wird angenommen, dass im Falle einer dauerhaften Invalidität erhebliche Anpassungen an der Wohnsituation erforderlich sind, insbesondere aufgrund der körperlich anspruchsvollen Tätigkeit des Kunden. Die Kosten für Wohnungsadaptierung, Rehabilitation und Hilfsmittel werden auf 150.000 Euro geschätzt. Diese Schätzung basiert auf Erfahrungswerten für bauliche Anpassungen und medizinische Hilfsmittel bei schwerer körperlicher Beeinträchtigung.","berechnungslogik_baustein_2":"Die monatliche Unfallrente soll den Einkommensausfall abdecken. Bei einem Nettoeinkommen von 1.800 Euro und unter Berücksichtigung der gesetzlichen Invaliditätspension, die bei etwa 50% des letzten Einkommens liegt (ca. 900 Euro), ergibt sich eine Versorgungslücke von 900 Euro. Daher wird eine monatliche Unfallrente von 900 Euro empfohlen, um den Lebensstandard des Kunden und seiner Familie zu sichern.","getroffene_annahmen":"Es wird angenommen, dass die gesetzliche Invaliditätspension etwa 50% des letzten Nettoeinkommens beträgt. Die Schätzung der Kosten für Wohnungsadaptierung und Hilfsmittel basiert auf Erfahrungswerten für körperlich beeinträchtigte Personen in handwerklichen Berufen."}</t>
  </si>
  <si>
    <t>Die einmalige Invaliditätsleistung soll die Kosten für Wohnungsadaptierung, Rehabilitation und Hilfsmittel abdecken. Bei einem hohen Berufsrisiko und einer Familie mit 3 Kindern ist eine höhere Summe erforderlich. Durchschnittliche Kosten für Wohnungsanpassungen und Hilfsmittel können bei schwerer Invalidität bis zu 100.000 € betragen. Zusätzlich werden 50.000 € für Rehabilitation und sonstige unvorhergesehene Kosten eingeplant.</t>
  </si>
  <si>
    <t>Die monatliche Unfallrente soll den Einkommensausfall ausgleichen. Bei einem Nettoeinkommen von 1.800 €/Monat und einer gesetzlichen Invaliditätspension von ca. 600 € (angenommener Durchschnittswert bei 50% Invalidität) ergibt sich eine Versorgungslücke von 1.200 €. Diese Lücke wird durch die private Unfallrente geschlossen.</t>
  </si>
  <si>
    <t>Es wird angenommen, dass die gesetzliche Invaliditätspension bei 50% Invalidität ca. 600 €/Monat beträgt, basierend auf durchschnittlichen Werten für vergleichbare Einkommensverhältnisse. Es wird weiterhin angenommen, dass die Kosten für Wohnungsanpassungen und Hilfsmittel bei schwerer Invalidität bis zu 100.000 € betragen können.</t>
  </si>
  <si>
    <t>{"baustein_1_einmalzahlung_eur":150000,"baustein_2_unfallrente_monatlich_eur":1200,"beruecksichtigte_faktoren":["Alter: 35 Jahre","Nettoeinkommen: 1.800 €/Monat","Berufsrisiko: Dachdecker/Gerüstbauer","Unterhaltspflichten: verheiratet, 3 Kinder"],"berechnungslogik_baustein_1":"Die einmalige Invaliditätsleistung soll die Kosten für Wohnungsadaptierung, Rehabilitation und Hilfsmittel abdecken. Bei einem hohen Berufsrisiko und einer Familie mit 3 Kindern ist eine höhere Summe erforderlich. Durchschnittliche Kosten für Wohnungsanpassungen und Hilfsmittel können bei schwerer Invalidität bis zu 100.000 € betragen. Zusätzlich werden 50.000 € für Rehabilitation und sonstige unvorhergesehene Kosten eingeplant.","berechnungslogik_baustein_2":"Die monatliche Unfallrente soll den Einkommensausfall ausgleichen. Bei einem Nettoeinkommen von 1.800 €/Monat und einer gesetzlichen Invaliditätspension von ca. 600 € (angenommener Durchschnittswert bei 50% Invalidität) ergibt sich eine Versorgungslücke von 1.200 €. Diese Lücke wird durch die private Unfallrente geschlossen.","getroffene_annahmen":"Es wird angenommen, dass die gesetzliche Invaliditätspension bei 50% Invalidität ca. 600 €/Monat beträgt, basierend auf durchschnittlichen Werten für vergleichbare Einkommensverhältnisse. Es wird weiterhin angenommen, dass die Kosten für Wohnungsanpassungen und Hilfsmittel bei schwerer Invalidität bis zu 100.000 € betragen können."}</t>
  </si>
  <si>
    <t>["Alter: 35 Jahre", "Nettoeinkommen: 3.000 €/Monat", "Berufsrisiko: Bürotätigkeit", "Unterhaltspflichten: ledig, keine Kinder"]</t>
  </si>
  <si>
    <t>Für die einmalige Invaliditätsleistung wird angenommen, dass im Falle einer dauerhaften Invalidität einmalige Kosten für Wohnungsadaptierung, Rehabilitation und Hilfsmittel anfallen. Bei einem 35-jährigen Kunden ohne Unterhaltspflichten und einem mittleren Einkommen wird eine Summe von 50.000 € als angemessen erachtet, um diese Kosten zu decken. Diese Summe basiert auf Erfahrungswerten für die genannten Anpassungen und Anschaffungen.</t>
  </si>
  <si>
    <t>Die monatliche Unfallrente soll den Einkommensausfall teilweise kompensieren. Bei einem Nettoeinkommen von 3.000 €/Monat und unter Berücksichtigung der gesetzlichen Invaliditätspension, die etwa 60% des letzten Einkommens betragen könnte, ergibt sich eine Versorgungslücke von ca. 1.200 €. Um diese Lücke zu schließen und einen Puffer zu bieten, wird eine monatliche Unfallrente von 1.000 € empfohlen.</t>
  </si>
  <si>
    <t>Es wird angenommen, dass die gesetzliche Invaliditätspension etwa 60% des letzten Nettoeinkommens beträgt. Die Berechnung basiert auf der Annahme, dass der Kunde keine weiteren Einkommensquellen oder Vermögenswerte hat, die im Invaliditätsfall zur Verfügung stehen würden.</t>
  </si>
  <si>
    <t>{"baustein_1_einmalzahlung_eur":50000,"baustein_2_unfallrente_monatlich_eur":1000,"beruecksichtigte_faktoren":["Alter: 35 Jahre","Nettoeinkommen: 3.000 €/Monat","Berufsrisiko: Bürotätigkeit","Unterhaltspflichten: ledig, keine Kinder"],"berechnungslogik_baustein_1":"Für die einmalige Invaliditätsleistung wird angenommen, dass im Falle einer dauerhaften Invalidität einmalige Kosten für Wohnungsadaptierung, Rehabilitation und Hilfsmittel anfallen. Bei einem 35-jährigen Kunden ohne Unterhaltspflichten und einem mittleren Einkommen wird eine Summe von 50.000 € als angemessen erachtet, um diese Kosten zu decken. Diese Summe basiert auf Erfahrungswerten für die genannten Anpassungen und Anschaffungen.","berechnungslogik_baustein_2":"Die monatliche Unfallrente soll den Einkommensausfall teilweise kompensieren. Bei einem Nettoeinkommen von 3.000 €/Monat und unter Berücksichtigung der gesetzlichen Invaliditätspension, die etwa 60% des letzten Einkommens betragen könnte, ergibt sich eine Versorgungslücke von ca. 1.200 €. Um diese Lücke zu schließen und einen Puffer zu bieten, wird eine monatliche Unfallrente von 1.000 € empfohlen.","getroffene_annahmen":"Es wird angenommen, dass die gesetzliche Invaliditätspension etwa 60% des letzten Nettoeinkommens beträgt. Die Berechnung basiert auf der Annahme, dass der Kunde keine weiteren Einkommensquellen oder Vermögenswerte hat, die im Invaliditätsfall zur Verfügung stehen würden."}</t>
  </si>
  <si>
    <t>["Alter des Kunden: 35 Jahre", "Monatliches Nettoeinkommen: 3.000 Euro", "Beruf: Bürotätigkeit", "Familienstand: ledig, keine Kinder, keine Unterhaltspflichten"]</t>
  </si>
  <si>
    <t>Für die einmalige Invaliditätsleistung wird angenommen, dass der Kunde im Falle einer dauernden Invalidität einmalige Kosten für Wohnungsadaptierung, Rehabilitation und Hilfsmittel hat. Diese Kosten werden pauschal auf 50.000 Euro geschätzt, basierend auf durchschnittlichen Kosten für solche Maßnahmen in Österreich.</t>
  </si>
  <si>
    <t>Die monatliche Unfallrente soll den Einkommensausfall abdecken, der nicht durch die gesetzliche Invaliditätspension gedeckt wird. Bei einem Nettoeinkommen von 3.000 Euro und einer angenommenen gesetzlichen Invaliditätspension von ca. 1.500 Euro (50% des Nettoeinkommens) ergibt sich eine Versorgungslücke von 1.500 Euro. Um eine gewisse Sicherheit zu bieten, wird eine Unfallrente von 1.000 Euro empfohlen, da der Kunde keine Unterhaltspflichten hat und somit geringere laufende Kosten zu erwarten sind.</t>
  </si>
  <si>
    <t>Es wird angenommen, dass die gesetzliche Invaliditätspension etwa 50% des letzten Nettoeinkommens beträgt, was in Österreich für eine Person ohne Kinder und ohne Unterhaltspflichten realistisch ist. Die einmaligen Kosten für Invaliditätsanpassungen werden pauschal auf 50.000 Euro geschätzt, basierend auf Erfahrungswerten.</t>
  </si>
  <si>
    <t>{"baustein_1_einmalzahlung_eur":50000,"baustein_2_unfallrente_monatlich_eur":1000,"beruecksichtigte_faktoren":["Alter des Kunden: 35 Jahre","Monatliches Nettoeinkommen: 3.000 Euro","Beruf: Bürotätigkeit","Familienstand: ledig, keine Kinder, keine Unterhaltspflichten"],"berechnungslogik_baustein_1":"Für die einmalige Invaliditätsleistung wird angenommen, dass der Kunde im Falle einer dauernden Invalidität einmalige Kosten für Wohnungsadaptierung, Rehabilitation und Hilfsmittel hat. Diese Kosten werden pauschal auf 50.000 Euro geschätzt, basierend auf durchschnittlichen Kosten für solche Maßnahmen in Österreich.","berechnungslogik_baustein_2":"Die monatliche Unfallrente soll den Einkommensausfall abdecken, der nicht durch die gesetzliche Invaliditätspension gedeckt wird. Bei einem Nettoeinkommen von 3.000 Euro und einer angenommenen gesetzlichen Invaliditätspension von ca. 1.500 Euro (50% des Nettoeinkommens) ergibt sich eine Versorgungslücke von 1.500 Euro. Um eine gewisse Sicherheit zu bieten, wird eine Unfallrente von 1.000 Euro empfohlen, da der Kunde keine Unterhaltspflichten hat und somit geringere laufende Kosten zu erwarten sind.","getroffene_annahmen":"Es wird angenommen, dass die gesetzliche Invaliditätspension etwa 50% des letzten Nettoeinkommens beträgt, was in Österreich für eine Person ohne Kinder und ohne Unterhaltspflichten realistisch ist. Die einmaligen Kosten für Invaliditätsanpassungen werden pauschal auf 50.000 Euro geschätzt, basierend auf Erfahrungswerten."}</t>
  </si>
  <si>
    <t>Für die einmalige Invaliditätsleistung wird eine Summe berechnet, die die Kosten für Wohnungsadaptierung, Rehabilitation und Hilfsmittel abdeckt. Bei einem 35-jährigen Kunden ohne Unterhaltspflichten und einem Berufsrisiko im Bürobereich, schätzen wir die einmaligen Kosten auf 100.000 €. Diese Summe berücksichtigt die Anpassung der Wohnsituation und mögliche Rehabilitationsmaßnahmen, die bei einer dauerhaften Invalidität notwendig werden könnten.</t>
  </si>
  <si>
    <t>Die monatliche Unfallrente soll den Einkommensausfall ausgleichen. Bei einem Nettoeinkommen von 3.000 €/Monat und einem gesetzlichen Invaliditätspensionsanspruch von ca. 50% des letzten Einkommens (1.500 €), ergibt sich eine Versorgungslücke von 1.500 €. Daher wird eine monatliche Unfallrente von 1.500 € empfohlen, um den Lebensstandard zu sichern.</t>
  </si>
  <si>
    <t>Es wird angenommen, dass die gesetzliche Invaliditätspension etwa 50% des letzten Nettoeinkommens beträgt. Es wird weiterhin angenommen, dass der Kunde keine weiteren Einkommensquellen oder Vermögenswerte hat, die im Invaliditätsfall zur Verfügung stehen würden.</t>
  </si>
  <si>
    <t>{"baustein_1_einmalzahlung_eur":100000,"baustein_2_unfallrente_monatlich_eur":1500,"beruecksichtigte_faktoren":["Alter: 35 Jahre","Nettoeinkommen: 3.000 €/Monat","Berufsrisiko: Bürotätigkeit","Unterhaltspflichten: ledig, keine Kinder"],"berechnungslogik_baustein_1":"Für die einmalige Invaliditätsleistung wird eine Summe berechnet, die die Kosten für Wohnungsadaptierung, Rehabilitation und Hilfsmittel abdeckt. Bei einem 35-jährigen Kunden ohne Unterhaltspflichten und einem Berufsrisiko im Bürobereich, schätzen wir die einmaligen Kosten auf 100.000 €. Diese Summe berücksichtigt die Anpassung der Wohnsituation und mögliche Rehabilitationsmaßnahmen, die bei einer dauerhaften Invalidität notwendig werden könnten.","berechnungslogik_baustein_2":"Die monatliche Unfallrente soll den Einkommensausfall ausgleichen. Bei einem Nettoeinkommen von 3.000 €/Monat und einem gesetzlichen Invaliditätspensionsanspruch von ca. 50% des letzten Einkommens (1.500 €), ergibt sich eine Versorgungslücke von 1.500 €. Daher wird eine monatliche Unfallrente von 1.500 € empfohlen, um den Lebensstandard zu sichern.","getroffene_annahmen":"Es wird angenommen, dass die gesetzliche Invaliditätspension etwa 50% des letzten Nettoeinkommens beträgt. Es wird weiterhin angenommen, dass der Kunde keine weiteren Einkommensquellen oder Vermögenswerte hat, die im Invaliditätsfall zur Verfügung stehen würden."}</t>
  </si>
  <si>
    <t>["Alter: 35 Jahre", "Nettoeinkommen: 3.000 €/Monat", "Berufsrisiko: Bürotätigkeit", "Unterhaltspflichten: verheiratet, 3 Kinder"]</t>
  </si>
  <si>
    <t>Für die einmalige Invaliditätsleistung wird eine Summe berechnet, die die einmaligen Kosten im Invaliditätsfall abdecken soll. Dazu gehören Wohnungsadaptierung, Rehabilitation und Hilfsmittel. Bei einem Alter von 35 Jahren und einer Familie mit 3 Kindern ist eine höhere Summe sinnvoll, um die Anpassung des Wohnraums und die Anschaffung von Hilfsmitteln zu ermöglichen. Ein Betrag von 100.000 € wird als angemessen erachtet, basierend auf durchschnittlichen Kosten für Wohnungsanpassungen (ca. 50.000 €) und zusätzlichen Kosten für Rehabilitation und Hilfsmittel (ca. 50.000 €).</t>
  </si>
  <si>
    <t>Die monatliche Unfallrente soll den Einkommensausfall ausgleichen. Bei einem Nettoeinkommen von 3.000 €/Monat und einer gesetzlichen Invaliditätspension von ca. 1.500 €/Monat (angenommener Durchschnittswert für eine Person mit 3 Kindern) ergibt sich eine Versorgungslücke von 1.500 €/Monat. Diese Lücke wird durch die private Unfallrente geschlossen, um den Lebensstandard der Familie zu sichern.</t>
  </si>
  <si>
    <t>Es wird angenommen, dass die gesetzliche Invaliditätspension bei einem Invaliditätsgrad von 50 % ca. 1.500 €/Monat beträgt, basierend auf dem Durchschnitt für eine Person mit 3 Kindern. Die Kosten für Wohnungsanpassungen und Hilfsmittel wurden auf Basis von Erfahrungswerten geschätzt.</t>
  </si>
  <si>
    <t>{"baustein_1_einmalzahlung_eur":100000,"baustein_2_unfallrente_monatlich_eur":1500,"beruecksichtigte_faktoren":["Alter: 35 Jahre","Nettoeinkommen: 3.000 €/Monat","Berufsrisiko: Bürotätigkeit","Unterhaltspflichten: verheiratet, 3 Kinder"],"berechnungslogik_baustein_1":"Für die einmalige Invaliditätsleistung wird eine Summe berechnet, die die einmaligen Kosten im Invaliditätsfall abdecken soll. Dazu gehören Wohnungsadaptierung, Rehabilitation und Hilfsmittel. Bei einem Alter von 35 Jahren und einer Familie mit 3 Kindern ist eine höhere Summe sinnvoll, um die Anpassung des Wohnraums und die Anschaffung von Hilfsmitteln zu ermöglichen. Ein Betrag von 100.000 € wird als angemessen erachtet, basierend auf durchschnittlichen Kosten für Wohnungsanpassungen (ca. 50.000 €) und zusätzlichen Kosten für Rehabilitation und Hilfsmittel (ca. 50.000 €).","berechnungslogik_baustein_2":"Die monatliche Unfallrente soll den Einkommensausfall ausgleichen. Bei einem Nettoeinkommen von 3.000 €/Monat und einer gesetzlichen Invaliditätspension von ca. 1.500 €/Monat (angenommener Durchschnittswert für eine Person mit 3 Kindern) ergibt sich eine Versorgungslücke von 1.500 €/Monat. Diese Lücke wird durch die private Unfallrente geschlossen, um den Lebensstandard der Familie zu sichern.","getroffene_annahmen":"Es wird angenommen, dass die gesetzliche Invaliditätspension bei einem Invaliditätsgrad von 50 % ca. 1.500 €/Monat beträgt, basierend auf dem Durchschnitt für eine Person mit 3 Kindern. Die Kosten für Wohnungsanpassungen und Hilfsmittel wurden auf Basis von Erfahrungswerten geschätzt."}</t>
  </si>
  <si>
    <t>["Alter des Kunden: 35 Jahre", "Monatliches Nettoeinkommen: 3.000 Euro", "Beruf: Bürotätigkeit", "Familienstand: verheiratet", "Anzahl der Kinder: 3", "Unterhaltspflichten"]</t>
  </si>
  <si>
    <t>Die einmalige Invaliditätsleistung soll die Kosten für Wohnungsadaptierung, Rehabilitation und Hilfsmittel abdecken. Bei einem 35-jährigen Kunden mit drei Kindern und Unterhaltspflichten ist eine höhere Summe erforderlich. Angenommene Kosten: 50.000 Euro für Wohnungsadaptierung, 50.000 Euro für Rehabilitation und 50.000 Euro für Hilfsmittel. Gesamt: 150.000 Euro.</t>
  </si>
  <si>
    <t>Die monatliche Unfallrente soll den Einkommensausfall ausgleichen. Bei einem Nettoeinkommen von 3.000 Euro und einer gesetzlichen Invaliditätspension von ca. 1.500 Euro (angenommener Referenzwert für eine Person mit 50% Invalidität) ergibt sich eine Versorgungslücke von 1.500 Euro. Daher wird eine monatliche Unfallrente von 1.500 Euro empfohlen.</t>
  </si>
  <si>
    <t>Es wird angenommen, dass die gesetzliche Invaliditätspension bei 50% Invalidität etwa 50% des Nettoeinkommens beträgt, also 1.500 Euro. Die Kosten für Wohnungsadaptierung, Rehabilitation und Hilfsmittel werden pauschal mit jeweils 50.000 Euro angesetzt, basierend auf Erfahrungswerten für eine Familie mit drei Kindern.</t>
  </si>
  <si>
    <t>{"baustein_1_einmalzahlung_eur":150000,"baustein_2_unfallrente_monatlich_eur":1500,"beruecksichtigte_faktoren":["Alter des Kunden: 35 Jahre","Monatliches Nettoeinkommen: 3.000 Euro","Beruf: Bürotätigkeit","Familienstand: verheiratet","Anzahl der Kinder: 3","Unterhaltspflichten"],"berechnungslogik_baustein_1":"Die einmalige Invaliditätsleistung soll die Kosten für Wohnungsadaptierung, Rehabilitation und Hilfsmittel abdecken. Bei einem 35-jährigen Kunden mit drei Kindern und Unterhaltspflichten ist eine höhere Summe erforderlich. Angenommene Kosten: 50.000 Euro für Wohnungsadaptierung, 50.000 Euro für Rehabilitation und 50.000 Euro für Hilfsmittel. Gesamt: 150.000 Euro.","berechnungslogik_baustein_2":"Die monatliche Unfallrente soll den Einkommensausfall ausgleichen. Bei einem Nettoeinkommen von 3.000 Euro und einer gesetzlichen Invaliditätspension von ca. 1.500 Euro (angenommener Referenzwert für eine Person mit 50% Invalidität) ergibt sich eine Versorgungslücke von 1.500 Euro. Daher wird eine monatliche Unfallrente von 1.500 Euro empfohlen.","getroffene_annahmen":"Es wird angenommen, dass die gesetzliche Invaliditätspension bei 50% Invalidität etwa 50% des Nettoeinkommens beträgt, also 1.500 Euro. Die Kosten für Wohnungsadaptierung, Rehabilitation und Hilfsmittel werden pauschal mit jeweils 50.000 Euro angesetzt, basierend auf Erfahrungswerten für eine Familie mit drei Kindern."}</t>
  </si>
  <si>
    <t>Die einmalige Invaliditätsleistung soll die Kosten für Wohnungsadaptierung, Rehabilitation und Hilfsmittel abdecken. Bei einem 35-jährigen Kunden mit einem Nettoeinkommen von 3.000 €/Monat und Unterhaltspflichten für 3 Kinder ist eine Summe von 150.000 € angemessen. Diese Summe berücksichtigt die durchschnittlichen Kosten für Wohnungsanpassungen (ca. 50.000 €), Rehabilitation (ca. 50.000 €) und Hilfsmittel (ca. 50.000 €).</t>
  </si>
  <si>
    <t>Die monatliche Unfallrente soll den Einkommensausfall ausgleichen. Bei einem Nettoeinkommen von 3.000 €/Monat und einem gesetzlichen Invaliditätspensionsanspruch von ca. 1.500 €/Monat (angenommener Durchschnittswert für ASVG-Pension bei 50% Invalidität) ergibt sich eine Versorgungslücke von 1.500 €/Monat. Diese Lücke wird durch die private Unfallrente geschlossen.</t>
  </si>
  <si>
    <t>Es wird angenommen, dass die gesetzliche Invaliditätspension bei 50% Invalidität ca. 1.500 €/Monat beträgt, basierend auf Durchschnittswerten für ASVG-Pensionen. Die Kosten für Wohnungsanpassungen, Rehabilitation und Hilfsmittel werden jeweils mit 50.000 € angenommen, basierend auf Erfahrungswerten.</t>
  </si>
  <si>
    <t>{"baustein_1_einmalzahlung_eur":150000,"baustein_2_unfallrente_monatlich_eur":1500,"beruecksichtigte_faktoren":["Alter: 35 Jahre","Nettoeinkommen: 3.000 €/Monat","Berufsrisiko: Bürotätigkeit","Unterhaltspflichten: verheiratet, 3 Kinder"],"berechnungslogik_baustein_1":"Die einmalige Invaliditätsleistung soll die Kosten für Wohnungsadaptierung, Rehabilitation und Hilfsmittel abdecken. Bei einem 35-jährigen Kunden mit einem Nettoeinkommen von 3.000 €/Monat und Unterhaltspflichten für 3 Kinder ist eine Summe von 150.000 € angemessen. Diese Summe berücksichtigt die durchschnittlichen Kosten für Wohnungsanpassungen (ca. 50.000 €), Rehabilitation (ca. 50.000 €) und Hilfsmittel (ca. 50.000 €).","berechnungslogik_baustein_2":"Die monatliche Unfallrente soll den Einkommensausfall ausgleichen. Bei einem Nettoeinkommen von 3.000 €/Monat und einem gesetzlichen Invaliditätspensionsanspruch von ca. 1.500 €/Monat (angenommener Durchschnittswert für ASVG-Pension bei 50% Invalidität) ergibt sich eine Versorgungslücke von 1.500 €/Monat. Diese Lücke wird durch die private Unfallrente geschlossen.","getroffene_annahmen":"Es wird angenommen, dass die gesetzliche Invaliditätspension bei 50% Invalidität ca. 1.500 €/Monat beträgt, basierend auf Durchschnittswerten für ASVG-Pensionen. Die Kosten für Wohnungsanpassungen, Rehabilitation und Hilfsmittel werden jeweils mit 50.000 € angenommen, basierend auf Erfahrungswerten."}</t>
  </si>
  <si>
    <t>["Alter: 35 Jahre", "Nettoeinkommen: 3.000 €/Monat", "Berufsrisiko: Handwerker", "Unterhaltspflichten: ledig, keine Kinder"]</t>
  </si>
  <si>
    <t>Für die einmalige Invaliditätsleistung wird eine Summe von 100.000 € empfohlen. Diese Summe berücksichtigt die Notwendigkeit, einmalige Kosten wie Wohnungsanpassungen, Rehabilitation und Hilfsmittel zu decken. Bei einem Handwerker, der körperlich arbeitet, könnten diese Anpassungen umfangreicher sein. Der Betrag von 100.000 € ist eine gängige Empfehlung für Personen mit mittlerem Berufsrisiko und einem Einkommen in dieser Höhe, um die finanziellen Belastungen im Invaliditätsfall zu decken.</t>
  </si>
  <si>
    <t>Die monatliche Unfallrente wird auf 1.500 € festgelegt. Dies entspricht 50 % des aktuellen Nettoeinkommens von 3.000 €/Monat. Da die gesetzliche Invaliditätspension in Österreich bei einem Invaliditätsgrad von 50 % oder mehr nur einen Teil des Einkommens ersetzt, wird die private Unfallrente so bemessen, dass sie die Versorgungslücke schließt. Die Annahme ist, dass die gesetzliche Leistung etwa 50 % des Nettoeinkommens abdeckt, daher wird die private Rente auf 1.500 € festgelegt, um den Einkommensausfall auszugleichen.</t>
  </si>
  <si>
    <t>Es wird angenommen, dass die gesetzliche Invaliditätspension etwa 50 % des Nettoeinkommens abdeckt. Diese Annahme basiert auf typischen Ersatzraten der gesetzlichen Rentenversicherung in Österreich. Es wird weiterhin angenommen, dass der Kunde keine weiteren Einkommensquellen oder Vermögenswerte hat, die im Invaliditätsfall zur Verfügung stehen würden.</t>
  </si>
  <si>
    <t>{"baustein_1_einmalzahlung_eur":100000,"baustein_2_unfallrente_monatlich_eur":1500,"beruecksichtigte_faktoren":["Alter: 35 Jahre","Nettoeinkommen: 3.000 €/Monat","Berufsrisiko: Handwerker","Unterhaltspflichten: ledig, keine Kinder"],"berechnungslogik_baustein_1":"Für die einmalige Invaliditätsleistung wird eine Summe von 100.000 € empfohlen. Diese Summe berücksichtigt die Notwendigkeit, einmalige Kosten wie Wohnungsanpassungen, Rehabilitation und Hilfsmittel zu decken. Bei einem Handwerker, der körperlich arbeitet, könnten diese Anpassungen umfangreicher sein. Der Betrag von 100.000 € ist eine gängige Empfehlung für Personen mit mittlerem Berufsrisiko und einem Einkommen in dieser Höhe, um die finanziellen Belastungen im Invaliditätsfall zu decken.","berechnungslogik_baustein_2":"Die monatliche Unfallrente wird auf 1.500 € festgelegt. Dies entspricht 50 % des aktuellen Nettoeinkommens von 3.000 €/Monat. Da die gesetzliche Invaliditätspension in Österreich bei einem Invaliditätsgrad von 50 % oder mehr nur einen Teil des Einkommens ersetzt, wird die private Unfallrente so bemessen, dass sie die Versorgungslücke schließt. Die Annahme ist, dass die gesetzliche Leistung etwa 50 % des Nettoeinkommens abdeckt, daher wird die private Rente auf 1.500 € festgelegt, um den Einkommensausfall auszugleichen.","getroffene_annahmen":"Es wird angenommen, dass die gesetzliche Invaliditätspension etwa 50 % des Nettoeinkommens abdeckt. Diese Annahme basiert auf typischen Ersatzraten der gesetzlichen Rentenversicherung in Österreich. Es wird weiterhin angenommen, dass der Kunde keine weiteren Einkommensquellen oder Vermögenswerte hat, die im Invaliditätsfall zur Verfügung stehen würden."}</t>
  </si>
  <si>
    <t>["Alter des Kunden: 35 Jahre", "Monatliches Nettoeinkommen: 3.000 Euro", "Beruf: Handwerker", "Familienstand: ledig, keine Kinder, keine Unterhaltspflichten"]</t>
  </si>
  <si>
    <t>Für die einmalige Invaliditätsleistung wird eine Summe berechnet, die die Kosten für Wohnungsadaptierung, Rehabilitation und Hilfsmittel abdeckt. Bei einem Handwerker, der körperlich arbeitet, sind diese Kosten potenziell höher. Ein Referenzwert von 100.000 Euro wird angenommen, um diese einmaligen Kosten zu decken, basierend auf Erfahrungswerten für ähnliche Berufsgruppen.</t>
  </si>
  <si>
    <t>Die monatliche Unfallrente soll den Einkommensausfall ausgleichen. Bei einem Nettoeinkommen von 3.000 Euro und einer angenommenen gesetzlichen Invaliditätspension von ca. 1.500 Euro (50% des Nettoeinkommens) ergibt sich eine Versorgungslücke von 1.500 Euro. Daher wird eine monatliche Unfallrente von 1.500 Euro empfohlen, um den Einkommensausfall vollständig auszugleichen.</t>
  </si>
  <si>
    <t>Es wird angenommen, dass die gesetzliche Invaliditätspension bei 50% des Nettoeinkommens liegt, was bei einem Einkommen von 3.000 Euro etwa 1.500 Euro entspricht. Die Kosten für Wohnungsadaptierung, Rehabilitation und Hilfsmittel werden pauschal mit 100.000 Euro angesetzt, basierend auf Erfahrungswerten für körperlich tätige Berufe.</t>
  </si>
  <si>
    <t>{"baustein_1_einmalzahlung_eur":100000,"baustein_2_unfallrente_monatlich_eur":1500,"beruecksichtigte_faktoren":["Alter des Kunden: 35 Jahre","Monatliches Nettoeinkommen: 3.000 Euro","Beruf: Handwerker","Familienstand: ledig, keine Kinder, keine Unterhaltspflichten"],"berechnungslogik_baustein_1":"Für die einmalige Invaliditätsleistung wird eine Summe berechnet, die die Kosten für Wohnungsadaptierung, Rehabilitation und Hilfsmittel abdeckt. Bei einem Handwerker, der körperlich arbeitet, sind diese Kosten potenziell höher. Ein Referenzwert von 100.000 Euro wird angenommen, um diese einmaligen Kosten zu decken, basierend auf Erfahrungswerten für ähnliche Berufsgruppen.","berechnungslogik_baustein_2":"Die monatliche Unfallrente soll den Einkommensausfall ausgleichen. Bei einem Nettoeinkommen von 3.000 Euro und einer angenommenen gesetzlichen Invaliditätspension von ca. 1.500 Euro (50% des Nettoeinkommens) ergibt sich eine Versorgungslücke von 1.500 Euro. Daher wird eine monatliche Unfallrente von 1.500 Euro empfohlen, um den Einkommensausfall vollständig auszugleichen.","getroffene_annahmen":"Es wird angenommen, dass die gesetzliche Invaliditätspension bei 50% des Nettoeinkommens liegt, was bei einem Einkommen von 3.000 Euro etwa 1.500 Euro entspricht. Die Kosten für Wohnungsadaptierung, Rehabilitation und Hilfsmittel werden pauschal mit 100.000 Euro angesetzt, basierend auf Erfahrungswerten für körperlich tätige Berufe."}</t>
  </si>
  <si>
    <t>Für die einmalige Invaliditätsleistung wird eine Summe berechnet, die die Kosten für Wohnungsadaptierung, Rehabilitation und Hilfsmittel abdeckt. Bei einem Handwerker, der körperlich arbeitet, sind diese Kosten tendenziell höher. Durchschnittliche Kosten für Wohnungsanpassungen und Hilfsmittel können bei etwa 50.000 € liegen. Zusätzlich werden 50.000 € für Rehabilitation und sonstige unvorhergesehene Kosten veranschlagt. Daher ergibt sich eine empfohlene Summe von 100.000 €.</t>
  </si>
  <si>
    <t>Die monatliche Unfallrente soll den Einkommensausfall ausgleichen. Bei einem Nettoeinkommen von 3.000 €/Monat und einem angenommenen gesetzlichen Invaliditätspensionsanspruch von etwa 1.500 €/Monat (basierend auf ASVG-Durchschnittswerten) ergibt sich eine Versorgungslücke von 1.500 €/Monat. Diese Lücke wird durch die private Unfallrente geschlossen, daher wird eine monatliche Unfallrente von 1.500 € empfohlen.</t>
  </si>
  <si>
    <t>Es wird angenommen, dass der gesetzliche Invaliditätspensionsanspruch bei etwa 50% des aktuellen Nettoeinkommens liegt, basierend auf ASVG-Durchschnittswerten. Es wird weiterhin angenommen, dass die Kosten für Wohnungsanpassungen und Hilfsmittel bei einem körperlich arbeitenden Handwerker höher sind als im Durchschnitt.</t>
  </si>
  <si>
    <t>{"baustein_1_einmalzahlung_eur":100000,"baustein_2_unfallrente_monatlich_eur":1500,"beruecksichtigte_faktoren":["Alter: 35 Jahre","Nettoeinkommen: 3.000 €/Monat","Berufsrisiko: Handwerker","Unterhaltspflichten: ledig, keine Kinder"],"berechnungslogik_baustein_1":"Für die einmalige Invaliditätsleistung wird eine Summe berechnet, die die Kosten für Wohnungsadaptierung, Rehabilitation und Hilfsmittel abdeckt. Bei einem Handwerker, der körperlich arbeitet, sind diese Kosten tendenziell höher. Durchschnittliche Kosten für Wohnungsanpassungen und Hilfsmittel können bei etwa 50.000 € liegen. Zusätzlich werden 50.000 € für Rehabilitation und sonstige unvorhergesehene Kosten veranschlagt. Daher ergibt sich eine empfohlene Summe von 100.000 €.","berechnungslogik_baustein_2":"Die monatliche Unfallrente soll den Einkommensausfall ausgleichen. Bei einem Nettoeinkommen von 3.000 €/Monat und einem angenommenen gesetzlichen Invaliditätspensionsanspruch von etwa 1.500 €/Monat (basierend auf ASVG-Durchschnittswerten) ergibt sich eine Versorgungslücke von 1.500 €/Monat. Diese Lücke wird durch die private Unfallrente geschlossen, daher wird eine monatliche Unfallrente von 1.500 € empfohlen.","getroffene_annahmen":"Es wird angenommen, dass der gesetzliche Invaliditätspensionsanspruch bei etwa 50% des aktuellen Nettoeinkommens liegt, basierend auf ASVG-Durchschnittswerten. Es wird weiterhin angenommen, dass die Kosten für Wohnungsanpassungen und Hilfsmittel bei einem körperlich arbeitenden Handwerker höher sind als im Durchschnitt."}</t>
  </si>
  <si>
    <t>["Alter: 35 Jahre", "Nettoeinkommen: 3.000 €/Monat", "Berufsrisiko: Handwerker", "Unterhaltspflichten: verheiratet, 3 Kinder"]</t>
  </si>
  <si>
    <t>Die einmalige Invaliditätsleistung soll die Kosten für Wohnungsadaptierung, Rehabilitation und Hilfsmittel abdecken. Bei einem Handwerker mit einem mittleren Berufsrisiko und einer Familie mit 3 Kindern ist eine höhere Absicherung sinnvoll. Durchschnittliche Kosten für Wohnungsanpassungen und Hilfsmittel können bei schwerer Invalidität bis zu 100.000 € betragen. Zusätzlich werden 50.000 € für Rehabilitationsmaßnahmen und sonstige unvorhergesehene Kosten veranschlagt. Daher ergibt sich eine empfohlene Summe von 150.000 €.</t>
  </si>
  <si>
    <t>Die monatliche Unfallrente soll den Einkommensausfall ausgleichen. Bei einem Nettoeinkommen von 3.000 €/Monat und einem angenommenen gesetzlichen Invaliditätspensionsanspruch von ca. 1.500 €/Monat (50% des Nettoeinkommens) ergibt sich eine Versorgungslücke von 1.500 €/Monat. Diese Lücke soll durch die private Unfallrente geschlossen werden, um den Lebensstandard der Familie zu sichern.</t>
  </si>
  <si>
    <t>Es wird angenommen, dass die gesetzliche Invaliditätspension bei 50% des Nettoeinkommens liegt, was bei einem Nettoeinkommen von 3.000 €/Monat etwa 1.500 €/Monat entspricht. Die Kosten für Wohnungsanpassungen und Hilfsmittel werden auf 100.000 € geschätzt, basierend auf durchschnittlichen Marktwerten. Rehabilitationskosten und sonstige unvorhergesehene Kosten werden mit 50.000 € veranschlagt.</t>
  </si>
  <si>
    <t>{"baustein_1_einmalzahlung_eur":150000,"baustein_2_unfallrente_monatlich_eur":1500,"beruecksichtigte_faktoren":["Alter: 35 Jahre","Nettoeinkommen: 3.000 €/Monat","Berufsrisiko: Handwerker","Unterhaltspflichten: verheiratet, 3 Kinder"],"berechnungslogik_baustein_1":"Die einmalige Invaliditätsleistung soll die Kosten für Wohnungsadaptierung, Rehabilitation und Hilfsmittel abdecken. Bei einem Handwerker mit einem mittleren Berufsrisiko und einer Familie mit 3 Kindern ist eine höhere Absicherung sinnvoll. Durchschnittliche Kosten für Wohnungsanpassungen und Hilfsmittel können bei schwerer Invalidität bis zu 100.000 € betragen. Zusätzlich werden 50.000 € für Rehabilitationsmaßnahmen und sonstige unvorhergesehene Kosten veranschlagt. Daher ergibt sich eine empfohlene Summe von 150.000 €.","berechnungslogik_baustein_2":"Die monatliche Unfallrente soll den Einkommensausfall ausgleichen. Bei einem Nettoeinkommen von 3.000 €/Monat und einem angenommenen gesetzlichen Invaliditätspensionsanspruch von ca. 1.500 €/Monat (50% des Nettoeinkommens) ergibt sich eine Versorgungslücke von 1.500 €/Monat. Diese Lücke soll durch die private Unfallrente geschlossen werden, um den Lebensstandard der Familie zu sichern.","getroffene_annahmen":"Es wird angenommen, dass die gesetzliche Invaliditätspension bei 50% des Nettoeinkommens liegt, was bei einem Nettoeinkommen von 3.000 €/Monat etwa 1.500 €/Monat entspricht. Die Kosten für Wohnungsanpassungen und Hilfsmittel werden auf 100.000 € geschätzt, basierend auf durchschnittlichen Marktwerten. Rehabilitationskosten und sonstige unvorhergesehene Kosten werden mit 50.000 € veranschlagt."}</t>
  </si>
  <si>
    <t>["Alter des Kunden: 35 Jahre", "Monatliches Nettoeinkommen: 3.000 Euro", "Beruf: Handwerker", "Familienstand: verheiratet", "Anzahl der Kinder: 3", "Unterhaltspflichten"]</t>
  </si>
  <si>
    <t>Für die einmalige Invaliditätsleistung wird eine Summe berechnet, die die Kosten für Wohnungsadaptierung, Rehabilitation und Hilfsmittel abdeckt. Angenommen wird ein Bedarf von 50.000 Euro für Wohnungsanpassungen, 50.000 Euro für Rehabilitation und 50.000 Euro für Hilfsmittel, was insgesamt 150.000 Euro ergibt.</t>
  </si>
  <si>
    <t>Die monatliche Unfallrente soll den Einkommensausfall abdecken. Bei einem Nettoeinkommen von 3.000 Euro und einer angenommenen gesetzlichen Invaliditätspension von 1.500 Euro (50% des Nettoeinkommens) ergibt sich eine Versorgungslücke von 1.500 Euro, die durch die Unfallrente geschlossen werden soll.</t>
  </si>
  <si>
    <t>Es wird angenommen, dass die gesetzliche Invaliditätspension 50% des letzten Nettoeinkommens beträgt. Die Kosten für Wohnungsadaptierung, Rehabilitation und Hilfsmittel werden pauschal mit jeweils 50.000 Euro angesetzt.</t>
  </si>
  <si>
    <t>{"baustein_1_einmalzahlung_eur":150000,"baustein_2_unfallrente_monatlich_eur":1500,"beruecksichtigte_faktoren":["Alter des Kunden: 35 Jahre","Monatliches Nettoeinkommen: 3.000 Euro","Beruf: Handwerker","Familienstand: verheiratet","Anzahl der Kinder: 3","Unterhaltspflichten"],"berechnungslogik_baustein_1":"Für die einmalige Invaliditätsleistung wird eine Summe berechnet, die die Kosten für Wohnungsadaptierung, Rehabilitation und Hilfsmittel abdeckt. Angenommen wird ein Bedarf von 50.000 Euro für Wohnungsanpassungen, 50.000 Euro für Rehabilitation und 50.000 Euro für Hilfsmittel, was insgesamt 150.000 Euro ergibt.","berechnungslogik_baustein_2":"Die monatliche Unfallrente soll den Einkommensausfall abdecken. Bei einem Nettoeinkommen von 3.000 Euro und einer angenommenen gesetzlichen Invaliditätspension von 1.500 Euro (50% des Nettoeinkommens) ergibt sich eine Versorgungslücke von 1.500 Euro, die durch die Unfallrente geschlossen werden soll.","getroffene_annahmen":"Es wird angenommen, dass die gesetzliche Invaliditätspension 50% des letzten Nettoeinkommens beträgt. Die Kosten für Wohnungsadaptierung, Rehabilitation und Hilfsmittel werden pauschal mit jeweils 50.000 Euro angesetzt."}</t>
  </si>
  <si>
    <t>Für die einmalige Invaliditätsleistung wird eine Summe berechnet, die die Kosten für Wohnungsadaptierung, Rehabilitation und Hilfsmittel abdeckt. Bei einem Handwerker mit einem hohen Berufsrisiko und einer Familie mit 3 Kindern ist eine höhere Summe erforderlich. Durchschnittliche Kosten für Wohnungsanpassungen und Hilfsmittel können bei schwerer Invalidität bis zu 100.000 € betragen. Zusätzlich werden 50.000 € für Rehabilitationsmaßnahmen und sonstige unvorhergesehene Kosten veranschlagt. Daher ergibt sich eine empfohlene Summe von 150.000 €.</t>
  </si>
  <si>
    <t>Die monatliche Unfallrente soll den Einkommensausfall ausgleichen. Bei einem Nettoeinkommen von 3.000 €/Monat und einer Familie mit 3 Kindern ist ein signifikanter Teil des Einkommens notwendig, um den Lebensstandard zu halten. Die gesetzliche Invaliditätspension nach ASVG beträgt bei einem Invaliditätsgrad von 50 % etwa 1.000 €/Monat. Um die Versorgungslücke zu schließen, wird eine zusätzliche Unfallrente von 2.000 €/Monat empfohlen, um das ursprüngliche Einkommen von 3.000 €/Monat zu erreichen.</t>
  </si>
  <si>
    <t>Es wird angenommen, dass die gesetzliche Invaliditätspension bei 50 % Invalidität etwa 1.000 €/Monat beträgt. Die Kosten für Wohnungsanpassungen und Hilfsmittel werden auf 100.000 € geschätzt, basierend auf Erfahrungswerten für schwerwiegende Invaliditätsfälle. Rehabilitationskosten und sonstige unvorhergesehene Ausgaben werden mit 50.000 € veranschlagt.</t>
  </si>
  <si>
    <t>{"baustein_1_einmalzahlung_eur":150000,"baustein_2_unfallrente_monatlich_eur":2000,"beruecksichtigte_faktoren":["Alter: 35 Jahre","Nettoeinkommen: 3.000 €/Monat","Berufsrisiko: Handwerker","Unterhaltspflichten: verheiratet, 3 Kinder"],"berechnungslogik_baustein_1":"Für die einmalige Invaliditätsleistung wird eine Summe berechnet, die die Kosten für Wohnungsadaptierung, Rehabilitation und Hilfsmittel abdeckt. Bei einem Handwerker mit einem hohen Berufsrisiko und einer Familie mit 3 Kindern ist eine höhere Summe erforderlich. Durchschnittliche Kosten für Wohnungsanpassungen und Hilfsmittel können bei schwerer Invalidität bis zu 100.000 € betragen. Zusätzlich werden 50.000 € für Rehabilitationsmaßnahmen und sonstige unvorhergesehene Kosten veranschlagt. Daher ergibt sich eine empfohlene Summe von 150.000 €.","berechnungslogik_baustein_2":"Die monatliche Unfallrente soll den Einkommensausfall ausgleichen. Bei einem Nettoeinkommen von 3.000 €/Monat und einer Familie mit 3 Kindern ist ein signifikanter Teil des Einkommens notwendig, um den Lebensstandard zu halten. Die gesetzliche Invaliditätspension nach ASVG beträgt bei einem Invaliditätsgrad von 50 % etwa 1.000 €/Monat. Um die Versorgungslücke zu schließen, wird eine zusätzliche Unfallrente von 2.000 €/Monat empfohlen, um das ursprüngliche Einkommen von 3.000 €/Monat zu erreichen.","getroffene_annahmen":"Es wird angenommen, dass die gesetzliche Invaliditätspension bei 50 % Invalidität etwa 1.000 €/Monat beträgt. Die Kosten für Wohnungsanpassungen und Hilfsmittel werden auf 100.000 € geschätzt, basierend auf Erfahrungswerten für schwerwiegende Invaliditätsfälle. Rehabilitationskosten und sonstige unvorhergesehene Ausgaben werden mit 50.000 € veranschlagt."}</t>
  </si>
  <si>
    <t>["Alter: 35 Jahre", "Nettoeinkommen: 3.000 €/Monat", "Berufsrisiko: Dachdecker/Gerüstbauer", "Unterhaltspflichten: ledig, keine Kinder"]</t>
  </si>
  <si>
    <t>Für die einmalige Invaliditätsleistung wird eine Summe benötigt, die die Kosten für Wohnungsadaptierung, Rehabilitation und Hilfsmittel abdeckt. Bei einem hohen Berufsrisiko wie dem eines Dachdeckers/Gerüstbauers ist die Wahrscheinlichkeit eines Unfalls höher, was eine höhere Absicherung rechtfertigt. Durchschnittliche Kosten für Wohnungsanpassungen und Hilfsmittel können bei schwerer Invalidität leicht 100.000 € erreichen. Daher wird eine einmalige Zahlung von 100.000 € empfohlen.</t>
  </si>
  <si>
    <t>Die monatliche Unfallrente soll den Einkommensausfall ausgleichen. Bei einem Nettoeinkommen von 3.000 €/Monat und einem Berufsrisiko, das eine hohe Wahrscheinlichkeit für Unfälle birgt, wird eine Unfallrente von 50% des Nettoeinkommens empfohlen, um die Versorgungslücke zu schließen. Dies ergibt eine monatliche Unfallrente von 1.500 €.</t>
  </si>
  <si>
    <t>Es wird angenommen, dass der Kunde keine weiteren Einkommensquellen hat und dass die gesetzliche Invaliditätspension nicht ausreicht, um den Lebensstandard zu halten. Die Berechnung basiert auf der Annahme, dass die gesetzliche Invaliditätspension etwa 50% des letzten Nettoeinkommens beträgt, was bei einem Nettoeinkommen von 3.000 € etwa 1.500 € wären. Daher wird eine zusätzliche private Unfallrente von 1.500 € benötigt, um den vollen Einkommensausfall auszugleichen.</t>
  </si>
  <si>
    <t>{"baustein_1_einmalzahlung_eur":100000,"baustein_2_unfallrente_monatlich_eur":1500,"beruecksichtigte_faktoren":["Alter: 35 Jahre","Nettoeinkommen: 3.000 €/Monat","Berufsrisiko: Dachdecker/Gerüstbauer","Unterhaltspflichten: ledig, keine Kinder"],"berechnungslogik_baustein_1":"Für die einmalige Invaliditätsleistung wird eine Summe benötigt, die die Kosten für Wohnungsadaptierung, Rehabilitation und Hilfsmittel abdeckt. Bei einem hohen Berufsrisiko wie dem eines Dachdeckers/Gerüstbauers ist die Wahrscheinlichkeit eines Unfalls höher, was eine höhere Absicherung rechtfertigt. Durchschnittliche Kosten für Wohnungsanpassungen und Hilfsmittel können bei schwerer Invalidität leicht 100.000 € erreichen. Daher wird eine einmalige Zahlung von 100.000 € empfohlen.","berechnungslogik_baustein_2":"Die monatliche Unfallrente soll den Einkommensausfall ausgleichen. Bei einem Nettoeinkommen von 3.000 €/Monat und einem Berufsrisiko, das eine hohe Wahrscheinlichkeit für Unfälle birgt, wird eine Unfallrente von 50% des Nettoeinkommens empfohlen, um die Versorgungslücke zu schließen. Dies ergibt eine monatliche Unfallrente von 1.500 €.","getroffene_annahmen":"Es wird angenommen, dass der Kunde keine weiteren Einkommensquellen hat und dass die gesetzliche Invaliditätspension nicht ausreicht, um den Lebensstandard zu halten. Die Berechnung basiert auf der Annahme, dass die gesetzliche Invaliditätspension etwa 50% des letzten Nettoeinkommens beträgt, was bei einem Nettoeinkommen von 3.000 € etwa 1.500 € wären. Daher wird eine zusätzliche private Unfallrente von 1.500 € benötigt, um den vollen Einkommensausfall auszugleichen."}</t>
  </si>
  <si>
    <t>["Alter des Kunden: 35 Jahre", "Beruf des Kunden: Dachdecker/Gerüstbauer", "Monatliches Nettoeinkommen: 3.000 Euro", "Familienstand: ledig, keine Unterhaltspflichten"]</t>
  </si>
  <si>
    <t>Für die einmalige Invaliditätsleistung wird angenommen, dass im Falle einer dauernden Invalidität erhebliche Anpassungen an der Wohnsituation und Arbeitsumgebung notwendig sind. Die Kosten für Wohnungsadaptierung, Rehabilitation und Hilfsmittel können bei einem handwerklichen Beruf wie Dachdecker/Gerüstbauer hoch sein. Ein Betrag von 100.000 Euro wird als angemessen erachtet, um diese einmaligen Kosten zu decken, basierend auf Erfahrungswerten für bauliche Anpassungen und Anschaffung von Hilfsmitteln.</t>
  </si>
  <si>
    <t>Die monatliche Unfallrente soll den Einkommensausfall teilweise kompensieren. Bei einem Nettoeinkommen von 3.000 Euro und unter Berücksichtigung der gesetzlichen Invaliditätspension, die bei etwa 50% des letzten Einkommens liegen könnte (ca. 1.500 Euro), wird eine Unfallrente von 1.500 Euro empfohlen, um die Versorgungslücke zu schließen und den Lebensstandard zu sichern.</t>
  </si>
  <si>
    <t>{"baustein_1_einmalzahlung_eur":100000,"baustein_2_unfallrente_monatlich_eur":1500,"beruecksichtigte_faktoren":["Alter des Kunden: 35 Jahre","Beruf des Kunden: Dachdecker/Gerüstbauer","Monatliches Nettoeinkommen: 3.000 Euro","Familienstand: ledig, keine Unterhaltspflichten"],"berechnungslogik_baustein_1":"Für die einmalige Invaliditätsleistung wird angenommen, dass im Falle einer dauernden Invalidität erhebliche Anpassungen an der Wohnsituation und Arbeitsumgebung notwendig sind. Die Kosten für Wohnungsadaptierung, Rehabilitation und Hilfsmittel können bei einem handwerklichen Beruf wie Dachdecker/Gerüstbauer hoch sein. Ein Betrag von 100.000 Euro wird als angemessen erachtet, um diese einmaligen Kosten zu decken, basierend auf Erfahrungswerten für bauliche Anpassungen und Anschaffung von Hilfsmitteln.","berechnungslogik_baustein_2":"Die monatliche Unfallrente soll den Einkommensausfall teilweise kompensieren. Bei einem Nettoeinkommen von 3.000 Euro und unter Berücksichtigung der gesetzlichen Invaliditätspension, die bei etwa 50% des letzten Einkommens liegen könnte (ca. 1.500 Euro), wird eine Unfallrente von 1.500 Euro empfohlen, um die Versorgungslücke zu schließen und den Lebensstandard zu sichern.","getroffene_annahmen":"Es wird angenommen, dass die gesetzliche Invaliditätspension etwa 50% des letzten Nettoeinkommens beträgt. Es wird weiterhin angenommen, dass der Kunde keine weiteren Einkommensquellen oder Vermögenswerte hat, die im Invaliditätsfall zur Verfügung stehen würden."}</t>
  </si>
  <si>
    <t>Für die einmalige Invaliditätsleistung wird eine Summe berechnet, die die Kosten für Wohnungsadaptierung, Rehabilitation und Hilfsmittel abdeckt. Bei einem Berufsrisiko als Dachdecker/Gerüstbauer ist das Unfallrisiko erhöht, was eine höhere Absicherung rechtfertigt. Angenommene Kosten für Wohnungsadaptierung und Hilfsmittel betragen 100.000 €, zusätzliche 50.000 € für Rehabilitation und sonstige Anpassungen. Gesamtbetrag: 150.000 €.</t>
  </si>
  <si>
    <t>Die monatliche Unfallrente soll den Einkommensausfall ausgleichen. Bei einem Nettoeinkommen von 3.000 €/Monat und einem angenommenen gesetzlichen Invaliditätspensionsanspruch von ca. 1.500 €/Monat (50 % des Nettoeinkommens) ergibt sich eine Versorgungslücke von 1.500 €/Monat. Daher wird eine Unfallrente von 1.500 €/Monat empfohlen.</t>
  </si>
  <si>
    <t>Es wird angenommen, dass die gesetzliche Invaliditätspension bei 50 % des Nettoeinkommens liegt, was bei einem Nettoeinkommen von 3.000 €/Monat etwa 1.500 €/Monat entspricht. Es wird weiterhin angenommen, dass die Kosten für Wohnungsadaptierung, Rehabilitation und Hilfsmittel bei einem erhöhten Berufsrisiko insgesamt 150.000 € betragen.</t>
  </si>
  <si>
    <t>{"baustein_1_einmalzahlung_eur":150000,"baustein_2_unfallrente_monatlich_eur":1500,"beruecksichtigte_faktoren":["Alter: 35 Jahre","Nettoeinkommen: 3.000 €/Monat","Berufsrisiko: Dachdecker/Gerüstbauer","Unterhaltspflichten: ledig, keine Kinder"],"berechnungslogik_baustein_1":"Für die einmalige Invaliditätsleistung wird eine Summe berechnet, die die Kosten für Wohnungsadaptierung, Rehabilitation und Hilfsmittel abdeckt. Bei einem Berufsrisiko als Dachdecker/Gerüstbauer ist das Unfallrisiko erhöht, was eine höhere Absicherung rechtfertigt. Angenommene Kosten für Wohnungsadaptierung und Hilfsmittel betragen 100.000 €, zusätzliche 50.000 € für Rehabilitation und sonstige Anpassungen. Gesamtbetrag: 150.000 €.","berechnungslogik_baustein_2":"Die monatliche Unfallrente soll den Einkommensausfall ausgleichen. Bei einem Nettoeinkommen von 3.000 €/Monat und einem angenommenen gesetzlichen Invaliditätspensionsanspruch von ca. 1.500 €/Monat (50 % des Nettoeinkommens) ergibt sich eine Versorgungslücke von 1.500 €/Monat. Daher wird eine Unfallrente von 1.500 €/Monat empfohlen.","getroffene_annahmen":"Es wird angenommen, dass die gesetzliche Invaliditätspension bei 50 % des Nettoeinkommens liegt, was bei einem Nettoeinkommen von 3.000 €/Monat etwa 1.500 €/Monat entspricht. Es wird weiterhin angenommen, dass die Kosten für Wohnungsadaptierung, Rehabilitation und Hilfsmittel bei einem erhöhten Berufsrisiko insgesamt 150.000 € betragen."}</t>
  </si>
  <si>
    <t>["Alter: 35 Jahre", "Nettoeinkommen: 3.000 €/Monat", "Berufsrisiko: Dachdecker/Gerüstbauer", "Unterhaltspflichten: verheiratet, 3 Kinder"]</t>
  </si>
  <si>
    <t>Die einmalige Invaliditätsleistung soll die Kosten für Wohnungsadaptierung, Rehabilitation und Hilfsmittel abdecken. Angesichts des hohen Berufsrisikos und der familiären Verpflichtungen (verheiratet, 3 Kinder) wird eine Summe von 150.000 € als angemessen erachtet. Diese Summe berücksichtigt die potenziell hohen Kosten für Umbauten und Hilfsmittel, die bei einem Dachdecker/Gerüstbauer im Invaliditätsfall anfallen könnten.</t>
  </si>
  <si>
    <t>Die monatliche Unfallrente soll den Einkommensausfall ausgleichen. Bei einem Nettoeinkommen von 3.000 €/Monat und einem hohen Berufsrisiko wird eine Unfallrente von 2.000 €/Monat empfohlen. Dies berücksichtigt die gesetzliche Invaliditätspension, die bei einem Invaliditätsgrad von über 50 % gezahlt wird, und schließt die Versorgungslücke, um den Lebensstandard der Familie zu sichern.</t>
  </si>
  <si>
    <t>Es wird angenommen, dass die gesetzliche Invaliditätspension etwa 1.000 €/Monat beträgt, basierend auf dem Durchschnitt für vergleichbare Fälle. Die Versorgungslücke wird durch die private Unfallrente geschlossen.</t>
  </si>
  <si>
    <t>{"baustein_1_einmalzahlung_eur":150000,"baustein_2_unfallrente_monatlich_eur":2000,"beruecksichtigte_faktoren":["Alter: 35 Jahre","Nettoeinkommen: 3.000 €/Monat","Berufsrisiko: Dachdecker/Gerüstbauer","Unterhaltspflichten: verheiratet, 3 Kinder"],"berechnungslogik_baustein_1":"Die einmalige Invaliditätsleistung soll die Kosten für Wohnungsadaptierung, Rehabilitation und Hilfsmittel abdecken. Angesichts des hohen Berufsrisikos und der familiären Verpflichtungen (verheiratet, 3 Kinder) wird eine Summe von 150.000 € als angemessen erachtet. Diese Summe berücksichtigt die potenziell hohen Kosten für Umbauten und Hilfsmittel, die bei einem Dachdecker/Gerüstbauer im Invaliditätsfall anfallen könnten.","berechnungslogik_baustein_2":"Die monatliche Unfallrente soll den Einkommensausfall ausgleichen. Bei einem Nettoeinkommen von 3.000 €/Monat und einem hohen Berufsrisiko wird eine Unfallrente von 2.000 €/Monat empfohlen. Dies berücksichtigt die gesetzliche Invaliditätspension, die bei einem Invaliditätsgrad von über 50 % gezahlt wird, und schließt die Versorgungslücke, um den Lebensstandard der Familie zu sichern.","getroffene_annahmen":"Es wird angenommen, dass die gesetzliche Invaliditätspension etwa 1.000 €/Monat beträgt, basierend auf dem Durchschnitt für vergleichbare Fälle. Die Versorgungslücke wird durch die private Unfallrente geschlossen."}</t>
  </si>
  <si>
    <t>["Alter des Kunden: 35 Jahre", "Beruf des Kunden: Dachdecker/Gerüstbauer", "Monatliches Nettoeinkommen: 3.000 Euro", "Familienstand: verheiratet", "Anzahl der Kinder: 3", "Unterhaltspflichten"]</t>
  </si>
  <si>
    <t>Für die einmalige Invaliditätsleistung wird eine Summe berechnet, die die Kosten für Wohnungsadaptierung, Rehabilitation und Hilfsmittel abdeckt. Angenommen wird ein Bedarf von 50.000 Euro für Wohnungsanpassungen (z.B. barrierefreier Umbau), 50.000 Euro für Rehabilitation und 50.000 Euro für Hilfsmittel und sonstige einmalige Kosten. Diese Annahmen basieren auf Erfahrungswerten für schwerwiegende Invaliditätsfälle, insbesondere in einem risikoreichen Beruf wie Dachdecker/Gerüstbauer.</t>
  </si>
  <si>
    <t>Die monatliche Unfallrente soll den Einkommensausfall abdecken. Bei einem Nettoeinkommen von 3.000 Euro und einem angenommenen gesetzlichen Invaliditätspensionsanspruch von ca. 1.500 Euro (50% des Nettoeinkommens) ergibt sich eine Versorgungslücke von 1.500 Euro. Diese Lücke wird durch die private Unfallrente geschlossen, um den Lebensstandard des Kunden und seiner Familie zu sichern.</t>
  </si>
  <si>
    <t>Es wird angenommen, dass der gesetzliche Invaliditätspensionsanspruch bei 50% des Nettoeinkommens liegt, was bei einem Einkommen von 3.000 Euro etwa 1.500 Euro beträgt. Die Versorgungslücke wird durch die private Unfallrente geschlossen. Die einmalige Invaliditätsleistung basiert auf geschätzten Kosten für Anpassungen und Hilfsmittel bei schwerer Invalidität.</t>
  </si>
  <si>
    <t>{"baustein_1_einmalzahlung_eur":150000,"baustein_2_unfallrente_monatlich_eur":1500,"beruecksichtigte_faktoren":["Alter des Kunden: 35 Jahre","Beruf des Kunden: Dachdecker/Gerüstbauer","Monatliches Nettoeinkommen: 3.000 Euro","Familienstand: verheiratet","Anzahl der Kinder: 3","Unterhaltspflichten"],"berechnungslogik_baustein_1":"Für die einmalige Invaliditätsleistung wird eine Summe berechnet, die die Kosten für Wohnungsadaptierung, Rehabilitation und Hilfsmittel abdeckt. Angenommen wird ein Bedarf von 50.000 Euro für Wohnungsanpassungen (z.B. barrierefreier Umbau), 50.000 Euro für Rehabilitation und 50.000 Euro für Hilfsmittel und sonstige einmalige Kosten. Diese Annahmen basieren auf Erfahrungswerten für schwerwiegende Invaliditätsfälle, insbesondere in einem risikoreichen Beruf wie Dachdecker/Gerüstbauer.","berechnungslogik_baustein_2":"Die monatliche Unfallrente soll den Einkommensausfall abdecken. Bei einem Nettoeinkommen von 3.000 Euro und einem angenommenen gesetzlichen Invaliditätspensionsanspruch von ca. 1.500 Euro (50% des Nettoeinkommens) ergibt sich eine Versorgungslücke von 1.500 Euro. Diese Lücke wird durch die private Unfallrente geschlossen, um den Lebensstandard des Kunden und seiner Familie zu sichern.","getroffene_annahmen":"Es wird angenommen, dass der gesetzliche Invaliditätspensionsanspruch bei 50% des Nettoeinkommens liegt, was bei einem Einkommen von 3.000 Euro etwa 1.500 Euro beträgt. Die Versorgungslücke wird durch die private Unfallrente geschlossen. Die einmalige Invaliditätsleistung basiert auf geschätzten Kosten für Anpassungen und Hilfsmittel bei schwerer Invalidität."}</t>
  </si>
  <si>
    <t>Die einmalige Invaliditätsleistung soll die Kosten für Wohnungsadaptierung, Rehabilitation und Hilfsmittel abdecken. Bei einem hohen Berufsrisiko und einer Familie mit 3 Kindern ist eine höhere Summe erforderlich. Durchschnittliche Kosten für Wohnungsanpassungen und Hilfsmittel können bei schwerer Invalidität bis zu 100.000 € betragen. Zusätzlich werden 50.000 € für Rehabilitation und sonstige unvorhergesehene Kosten veranschlagt. Daher wird eine Summe von 150.000 € empfohlen.</t>
  </si>
  <si>
    <t>Die monatliche Unfallrente soll den Einkommensausfall ausgleichen. Bei einem Nettoeinkommen von 3.000 €/Monat und einer Familie mit 3 Kindern ist eine Absicherung von 2/3 des Einkommens sinnvoll, um den Lebensstandard zu halten. Das ergibt 2.000 €/Monat. Die gesetzliche Invaliditätspension wird bei einem Dachdecker mit hohem Risiko als unzureichend angesehen, daher ist eine höhere private Absicherung notwendig.</t>
  </si>
  <si>
    <t>Es wird angenommen, dass die gesetzliche Invaliditätspension bei einem Invaliditätsgrad von 50 % oder mehr nicht ausreicht, um den Lebensstandard zu halten, insbesondere bei einem Berufsrisiko wie Dachdecker/Gerüstbauer. Es wird auch angenommen, dass die Kosten für Wohnungsanpassungen und Hilfsmittel bei schwerer Invalidität bis zu 100.000 € betragen können.</t>
  </si>
  <si>
    <t>{"baustein_1_einmalzahlung_eur":150000,"baustein_2_unfallrente_monatlich_eur":2000,"beruecksichtigte_faktoren":["Alter: 35 Jahre","Nettoeinkommen: 3.000 €/Monat","Berufsrisiko: Dachdecker/Gerüstbauer","Unterhaltspflichten: verheiratet, 3 Kinder"],"berechnungslogik_baustein_1":"Die einmalige Invaliditätsleistung soll die Kosten für Wohnungsadaptierung, Rehabilitation und Hilfsmittel abdecken. Bei einem hohen Berufsrisiko und einer Familie mit 3 Kindern ist eine höhere Summe erforderlich. Durchschnittliche Kosten für Wohnungsanpassungen und Hilfsmittel können bei schwerer Invalidität bis zu 100.000 € betragen. Zusätzlich werden 50.000 € für Rehabilitation und sonstige unvorhergesehene Kosten veranschlagt. Daher wird eine Summe von 150.000 € empfohlen.","berechnungslogik_baustein_2":"Die monatliche Unfallrente soll den Einkommensausfall ausgleichen. Bei einem Nettoeinkommen von 3.000 €/Monat und einer Familie mit 3 Kindern ist eine Absicherung von 2/3 des Einkommens sinnvoll, um den Lebensstandard zu halten. Das ergibt 2.000 €/Monat. Die gesetzliche Invaliditätspension wird bei einem Dachdecker mit hohem Risiko als unzureichend angesehen, daher ist eine höhere private Absicherung notwendig.","getroffene_annahmen":"Es wird angenommen, dass die gesetzliche Invaliditätspension bei einem Invaliditätsgrad von 50 % oder mehr nicht ausreicht, um den Lebensstandard zu halten, insbesondere bei einem Berufsrisiko wie Dachdecker/Gerüstbauer. Es wird auch angenommen, dass die Kosten für Wohnungsanpassungen und Hilfsmittel bei schwerer Invalidität bis zu 100.000 € betragen können."}</t>
  </si>
  <si>
    <t>["Alter: 35 Jahre", "Nettoeinkommen: 5.500 €/Monat", "Berufsrisiko: Bürotätigkeit", "Unterhaltspflichten: ledig, keine Kinder"]</t>
  </si>
  <si>
    <t>Für die einmalige Invaliditätsleistung wird eine Summe von 100.000 € empfohlen. Diese Summe berücksichtigt die Notwendigkeit, einmalige Kosten wie Wohnungsanpassungen, Rehabilitation und Hilfsmittel zu decken. Da der Kunde keine Unterhaltspflichten hat und ein relativ hohes Einkommen bezieht, wird eine moderate Summe gewählt, die dennoch ausreichend ist, um die genannten Kosten zu decken. Referenzwerte für Wohnungsanpassungen und Hilfsmittel liegen typischerweise zwischen 50.000 € und 150.000 €, daher wurde ein Mittelwert gewählt.</t>
  </si>
  <si>
    <t>Die monatliche Unfallrente wird auf 1.500 € festgelegt. Dies basiert auf der Annahme, dass die gesetzliche Invaliditätspension bei etwa 60% des letzten Nettoeinkommens liegt, was ca. 3.300 € entspricht. Um den Einkommensausfall zu kompensieren und den Lebensstandard zu halten, wird eine zusätzliche private Rente von 1.500 € empfohlen, um die Differenz zum vollen Nettoeinkommen zu verringern.</t>
  </si>
  <si>
    <t>Es wird angenommen, dass die gesetzliche Invaliditätspension etwa 60% des letzten Nettoeinkommens beträgt. Es wird weiterhin angenommen, dass der Kunde keine weiteren Einkommensquellen oder Vermögenswerte hat, die im Invaliditätsfall zur Verfügung stehen würden.</t>
  </si>
  <si>
    <t>{"baustein_1_einmalzahlung_eur":100000,"baustein_2_unfallrente_monatlich_eur":1500,"beruecksichtigte_faktoren":["Alter: 35 Jahre","Nettoeinkommen: 5.500 €/Monat","Berufsrisiko: Bürotätigkeit","Unterhaltspflichten: ledig, keine Kinder"],"berechnungslogik_baustein_1":"Für die einmalige Invaliditätsleistung wird eine Summe von 100.000 € empfohlen. Diese Summe berücksichtigt die Notwendigkeit, einmalige Kosten wie Wohnungsanpassungen, Rehabilitation und Hilfsmittel zu decken. Da der Kunde keine Unterhaltspflichten hat und ein relativ hohes Einkommen bezieht, wird eine moderate Summe gewählt, die dennoch ausreichend ist, um die genannten Kosten zu decken. Referenzwerte für Wohnungsanpassungen und Hilfsmittel liegen typischerweise zwischen 50.000 € und 150.000 €, daher wurde ein Mittelwert gewählt.","berechnungslogik_baustein_2":"Die monatliche Unfallrente wird auf 1.500 € festgelegt. Dies basiert auf der Annahme, dass die gesetzliche Invaliditätspension bei etwa 60% des letzten Nettoeinkommens liegt, was ca. 3.300 € entspricht. Um den Einkommensausfall zu kompensieren und den Lebensstandard zu halten, wird eine zusätzliche private Rente von 1.500 € empfohlen, um die Differenz zum vollen Nettoeinkommen zu verringern.","getroffene_annahmen":"Es wird angenommen, dass die gesetzliche Invaliditätspension etwa 60% des letzten Nettoeinkommens beträgt. Es wird weiterhin angenommen, dass der Kunde keine weiteren Einkommensquellen oder Vermögenswerte hat, die im Invaliditätsfall zur Verfügung stehen würden."}</t>
  </si>
  <si>
    <t>["Alter des Kunden: 35 Jahre", "Monatliches Nettoeinkommen: 5.500 Euro", "Beruf: Bürotätigkeit", "Familienstand: ledig, keine Kinder, keine Unterhaltspflichten"]</t>
  </si>
  <si>
    <t>Für die einmalige Invaliditätsleistung wird angenommen, dass der Kunde im Falle einer dauernden Invalidität einmalige Kosten für Wohnungsadaptierung, Rehabilitation und Hilfsmittel hat. Diese Kosten werden auf 150.000 Euro geschätzt, basierend auf durchschnittlichen Kosten für Wohnungsumbauten (ca. 50.000 Euro), Rehabilitation (ca. 50.000 Euro) und Hilfsmittel (ca. 50.000 Euro).</t>
  </si>
  <si>
    <t>Die monatliche Unfallrente soll den Einkommensausfall abdecken, der nicht durch die gesetzliche Invaliditätspension gedeckt wird. Bei einem Nettoeinkommen von 5.500 Euro und einer angenommenen gesetzlichen Invaliditätspension von ca. 1.500 Euro (basierend auf Durchschnittswerten für eine Person ohne Unterhaltspflichten) ergibt sich eine Versorgungslücke von 4.000 Euro. Um diese Lücke teilweise zu schließen und den Lebensstandard zu sichern, wird eine Unfallrente von 2.000 Euro monatlich empfohlen.</t>
  </si>
  <si>
    <t>Es wird angenommen, dass die gesetzliche Invaliditätspension bei ca. 1.500 Euro liegt, basierend auf Durchschnittswerten für eine Person ohne Unterhaltspflichten. Die Kosten für Wohnungsadaptierung, Rehabilitation und Hilfsmittel werden pauschal auf jeweils 50.000 Euro geschätzt.</t>
  </si>
  <si>
    <t>{"baustein_1_einmalzahlung_eur":150000,"baustein_2_unfallrente_monatlich_eur":2000,"beruecksichtigte_faktoren":["Alter des Kunden: 35 Jahre","Monatliches Nettoeinkommen: 5.500 Euro","Beruf: Bürotätigkeit","Familienstand: ledig, keine Kinder, keine Unterhaltspflichten"],"berechnungslogik_baustein_1":"Für die einmalige Invaliditätsleistung wird angenommen, dass der Kunde im Falle einer dauernden Invalidität einmalige Kosten für Wohnungsadaptierung, Rehabilitation und Hilfsmittel hat. Diese Kosten werden auf 150.000 Euro geschätzt, basierend auf durchschnittlichen Kosten für Wohnungsumbauten (ca. 50.000 Euro), Rehabilitation (ca. 50.000 Euro) und Hilfsmittel (ca. 50.000 Euro).","berechnungslogik_baustein_2":"Die monatliche Unfallrente soll den Einkommensausfall abdecken, der nicht durch die gesetzliche Invaliditätspension gedeckt wird. Bei einem Nettoeinkommen von 5.500 Euro und einer angenommenen gesetzlichen Invaliditätspension von ca. 1.500 Euro (basierend auf Durchschnittswerten für eine Person ohne Unterhaltspflichten) ergibt sich eine Versorgungslücke von 4.000 Euro. Um diese Lücke teilweise zu schließen und den Lebensstandard zu sichern, wird eine Unfallrente von 2.000 Euro monatlich empfohlen.","getroffene_annahmen":"Es wird angenommen, dass die gesetzliche Invaliditätspension bei ca. 1.500 Euro liegt, basierend auf Durchschnittswerten für eine Person ohne Unterhaltspflichten. Die Kosten für Wohnungsadaptierung, Rehabilitation und Hilfsmittel werden pauschal auf jeweils 50.000 Euro geschätzt."}</t>
  </si>
  <si>
    <t>Für die einmalige Invaliditätsleistung wird angenommen, dass im Falle einer dauernden Invalidität durch Unfall einmalige Kosten für Wohnungsadaptierung, Rehabilitation und Hilfsmittel anfallen. Bei einem Nettoeinkommen von 5.500 €/Monat und einem Alter von 35 Jahren wird eine Summe von 150.000 € als angemessen erachtet, um diese Kosten zu decken. Diese Summe berücksichtigt die Notwendigkeit, das Zuhause barrierefrei zu gestalten und mögliche Rehabilitationskosten, die nicht von der gesetzlichen Krankenversicherung gedeckt werden.</t>
  </si>
  <si>
    <t>Die monatliche Unfallrente soll den Einkommensausfall ausgleichen, der durch eine dauernde Invalidität entsteht. Bei einem Nettoeinkommen von 5.500 €/Monat und unter Berücksichtigung der gesetzlichen Invaliditätspension, die bei einem Invaliditätsgrad von 50 % etwa 1.500 €/Monat betragen könnte, ergibt sich eine Versorgungslücke von 4.000 €/Monat. Um diese Lücke teilweise zu schließen und den Lebensstandard zu sichern, wird eine Unfallrente von 2.000 €/Monat empfohlen. Dies berücksichtigt, dass der Kunde keine Unterhaltspflichten hat und somit eine geringere monatliche Absicherung benötigt.</t>
  </si>
  <si>
    <t>Es wird angenommen, dass die gesetzliche Invaliditätspension bei einem Invaliditätsgrad von 50 % etwa 1.500 €/Monat beträgt. Diese Annahme basiert auf durchschnittlichen Werten für die gesetzliche Invaliditätspension in Österreich. Es wird weiterhin angenommen, dass der Kunde keine weiteren Einkommensquellen oder Vermögenswerte hat, die im Invaliditätsfall zur Verfügung stehen würden.</t>
  </si>
  <si>
    <t>{"baustein_1_einmalzahlung_eur":150000,"baustein_2_unfallrente_monatlich_eur":2000,"beruecksichtigte_faktoren":["Alter: 35 Jahre","Nettoeinkommen: 5.500 €/Monat","Berufsrisiko: Bürotätigkeit","Unterhaltspflichten: ledig, keine Kinder"],"berechnungslogik_baustein_1":"Für die einmalige Invaliditätsleistung wird angenommen, dass im Falle einer dauernden Invalidität durch Unfall einmalige Kosten für Wohnungsadaptierung, Rehabilitation und Hilfsmittel anfallen. Bei einem Nettoeinkommen von 5.500 €/Monat und einem Alter von 35 Jahren wird eine Summe von 150.000 € als angemessen erachtet, um diese Kosten zu decken. Diese Summe berücksichtigt die Notwendigkeit, das Zuhause barrierefrei zu gestalten und mögliche Rehabilitationskosten, die nicht von der gesetzlichen Krankenversicherung gedeckt werden.","berechnungslogik_baustein_2":"Die monatliche Unfallrente soll den Einkommensausfall ausgleichen, der durch eine dauernde Invalidität entsteht. Bei einem Nettoeinkommen von 5.500 €/Monat und unter Berücksichtigung der gesetzlichen Invaliditätspension, die bei einem Invaliditätsgrad von 50 % etwa 1.500 €/Monat betragen könnte, ergibt sich eine Versorgungslücke von 4.000 €/Monat. Um diese Lücke teilweise zu schließen und den Lebensstandard zu sichern, wird eine Unfallrente von 2.000 €/Monat empfohlen. Dies berücksichtigt, dass der Kunde keine Unterhaltspflichten hat und somit eine geringere monatliche Absicherung benötigt.","getroffene_annahmen":"Es wird angenommen, dass die gesetzliche Invaliditätspension bei einem Invaliditätsgrad von 50 % etwa 1.500 €/Monat beträgt. Diese Annahme basiert auf durchschnittlichen Werten für die gesetzliche Invaliditätspension in Österreich. Es wird weiterhin angenommen, dass der Kunde keine weiteren Einkommensquellen oder Vermögenswerte hat, die im Invaliditätsfall zur Verfügung stehen würden."}</t>
  </si>
  <si>
    <t>["Alter: 35 Jahre", "Nettoeinkommen: 5.500 €/Monat", "Berufsrisiko: Bürotätigkeit", "Unterhaltspflichten: verheiratet, 3 Kinder"]</t>
  </si>
  <si>
    <t>Die einmalige Invaliditätsleistung soll die Kosten für Wohnungsadaptierung, Rehabilitation und Hilfsmittel abdecken. Bei einem 35-jährigen Kunden mit 3 Kindern und einem Nettoeinkommen von 5.500 € ist eine hohe Absicherung wichtig. Durchschnittliche Kosten für Wohnungsanpassungen und Hilfsmittel können leicht 100.000 € übersteigen. Zusätzlich sind Kosten für Rehabilitation zu berücksichtigen. Daher wird eine Summe von 150.000 € als angemessen erachtet.</t>
  </si>
  <si>
    <t>Die monatliche Unfallrente soll den Einkommensausfall ausgleichen. Bei einem Nettoeinkommen von 5.500 € und einem gesetzlichen Invaliditätspensionsanspruch von ca. 1.500 € (angenommener Durchschnittswert für ASVG-Pension bei 50% Invalidität) ergibt sich eine Versorgungslücke von 4.000 €. Um diese Lücke teilweise zu schließen und den Lebensstandard zu sichern, wird eine Unfallrente von 2.000 € monatlich empfohlen.</t>
  </si>
  <si>
    <t>Es wird angenommen, dass die gesetzliche Invaliditätspension bei 50% Invalidität ca. 1.500 € beträgt, basierend auf Durchschnittswerten für ASVG-Pensionen. Die Kosten für Wohnungsanpassungen und Hilfsmittel werden auf mindestens 100.000 € geschätzt, basierend auf Erfahrungswerten.</t>
  </si>
  <si>
    <t>{"baustein_1_einmalzahlung_eur":150000,"baustein_2_unfallrente_monatlich_eur":2000,"beruecksichtigte_faktoren":["Alter: 35 Jahre","Nettoeinkommen: 5.500 €/Monat","Berufsrisiko: Bürotätigkeit","Unterhaltspflichten: verheiratet, 3 Kinder"],"berechnungslogik_baustein_1":"Die einmalige Invaliditätsleistung soll die Kosten für Wohnungsadaptierung, Rehabilitation und Hilfsmittel abdecken. Bei einem 35-jährigen Kunden mit 3 Kindern und einem Nettoeinkommen von 5.500 € ist eine hohe Absicherung wichtig. Durchschnittliche Kosten für Wohnungsanpassungen und Hilfsmittel können leicht 100.000 € übersteigen. Zusätzlich sind Kosten für Rehabilitation zu berücksichtigen. Daher wird eine Summe von 150.000 € als angemessen erachtet.","berechnungslogik_baustein_2":"Die monatliche Unfallrente soll den Einkommensausfall ausgleichen. Bei einem Nettoeinkommen von 5.500 € und einem gesetzlichen Invaliditätspensionsanspruch von ca. 1.500 € (angenommener Durchschnittswert für ASVG-Pension bei 50% Invalidität) ergibt sich eine Versorgungslücke von 4.000 €. Um diese Lücke teilweise zu schließen und den Lebensstandard zu sichern, wird eine Unfallrente von 2.000 € monatlich empfohlen.","getroffene_annahmen":"Es wird angenommen, dass die gesetzliche Invaliditätspension bei 50% Invalidität ca. 1.500 € beträgt, basierend auf Durchschnittswerten für ASVG-Pensionen. Die Kosten für Wohnungsanpassungen und Hilfsmittel werden auf mindestens 100.000 € geschätzt, basierend auf Erfahrungswerten."}</t>
  </si>
  <si>
    <t>["Alter des Kunden: 35 Jahre", "Monatliches Nettoeinkommen: 5.500 Euro", "Beruf: Bürotätigkeit", "Familienstand: verheiratet", "Anzahl der Kinder: 3", "Unterhaltspflichten"]</t>
  </si>
  <si>
    <t>Die einmalige Invaliditätsleistung soll die Kosten für Wohnungsadaptierung, Rehabilitation und Hilfsmittel abdecken. Bei einem 35-jährigen Kunden mit einem Einkommen von 5.500 Euro und Unterhaltspflichten für drei Kinder ist eine höhere Summe erforderlich. Wir kalkulieren mit 30.000 Euro für Wohnungsadaptierung, 20.000 Euro für Rehabilitation und 10.000 Euro für Hilfsmittel. Zusätzlich berücksichtigen wir 90.000 Euro als Puffer für unvorhergesehene Kosten, was insgesamt 150.000 Euro ergibt.</t>
  </si>
  <si>
    <t>Die monatliche Unfallrente soll den Einkommensausfall ausgleichen. Bei einem Nettoeinkommen von 5.500 Euro und einem angenommenen gesetzlichen Invaliditätspensionsanspruch von ca. 1.500 Euro (Referenzwert für ASVG-Pension bei 50% Invalidität) ergibt sich eine Versorgungslücke von 4.000 Euro. Um die finanzielle Belastung durch Unterhaltspflichten zu berücksichtigen, setzen wir die Unfallrente auf 2.500 Euro, um die Lücke teilweise zu schließen und die finanzielle Stabilität der Familie zu gewährleisten.</t>
  </si>
  <si>
    <t>Es wird angenommen, dass die gesetzliche Invaliditätspension bei 50% Invalidität ca. 1.500 Euro beträgt. Die Kosten für Wohnungsadaptierung, Rehabilitation und Hilfsmittel basieren auf durchschnittlichen Marktwerten. Es wird angenommen, dass der Kunde keine weiteren Einkommensquellen hat.</t>
  </si>
  <si>
    <t>{"baustein_1_einmalzahlung_eur":150000,"baustein_2_unfallrente_monatlich_eur":2500,"beruecksichtigte_faktoren":["Alter des Kunden: 35 Jahre","Monatliches Nettoeinkommen: 5.500 Euro","Beruf: Bürotätigkeit","Familienstand: verheiratet","Anzahl der Kinder: 3","Unterhaltspflichten"],"berechnungslogik_baustein_1":"Die einmalige Invaliditätsleistung soll die Kosten für Wohnungsadaptierung, Rehabilitation und Hilfsmittel abdecken. Bei einem 35-jährigen Kunden mit einem Einkommen von 5.500 Euro und Unterhaltspflichten für drei Kinder ist eine höhere Summe erforderlich. Wir kalkulieren mit 30.000 Euro für Wohnungsadaptierung, 20.000 Euro für Rehabilitation und 10.000 Euro für Hilfsmittel. Zusätzlich berücksichtigen wir 90.000 Euro als Puffer für unvorhergesehene Kosten, was insgesamt 150.000 Euro ergibt.","berechnungslogik_baustein_2":"Die monatliche Unfallrente soll den Einkommensausfall ausgleichen. Bei einem Nettoeinkommen von 5.500 Euro und einem angenommenen gesetzlichen Invaliditätspensionsanspruch von ca. 1.500 Euro (Referenzwert für ASVG-Pension bei 50% Invalidität) ergibt sich eine Versorgungslücke von 4.000 Euro. Um die finanzielle Belastung durch Unterhaltspflichten zu berücksichtigen, setzen wir die Unfallrente auf 2.500 Euro, um die Lücke teilweise zu schließen und die finanzielle Stabilität der Familie zu gewährleisten.","getroffene_annahmen":"Es wird angenommen, dass die gesetzliche Invaliditätspension bei 50% Invalidität ca. 1.500 Euro beträgt. Die Kosten für Wohnungsadaptierung, Rehabilitation und Hilfsmittel basieren auf durchschnittlichen Marktwerten. Es wird angenommen, dass der Kunde keine weiteren Einkommensquellen hat."}</t>
  </si>
  <si>
    <t>Die einmalige Invaliditätsleistung soll die Kosten für Wohnungsadaptierung, Rehabilitation und Hilfsmittel abdecken. Bei einem 35-jährigen Kunden mit einem Nettoeinkommen von 5.500 €/Monat und drei unterhaltspflichtigen Kindern ist eine höhere Summe erforderlich, um die Familie im Falle einer Invalidität abzusichern. Ein Betrag von 150.000 € wird als angemessen erachtet, um die einmaligen Kosten zu decken, basierend auf Erfahrungswerten für Wohnungsanpassungen (ca. 50.000 €), Rehabilitation (ca. 50.000 €) und Hilfsmittel (ca. 50.000 €).</t>
  </si>
  <si>
    <t>Die monatliche Unfallrente soll den Einkommensausfall ausgleichen. Bei einem Nettoeinkommen von 5.500 €/Monat und einer gesetzlichen Invaliditätspension von ca. 1.500 €/Monat (angenommener Durchschnittswert für ASVG-Leistungen bei 50% Invalidität) ergibt sich eine Versorgungslücke von 4.000 €/Monat. Um die finanzielle Belastung zu reduzieren, wird eine Unfallrente von 2.000 €/Monat empfohlen, die zusammen mit der gesetzlichen Leistung 3.500 €/Monat abdeckt, was als ausreichend erachtet wird, um den Lebensstandard der Familie zu sichern.</t>
  </si>
  <si>
    <t>Es wird angenommen, dass die gesetzliche Invaliditätspension bei 50% Invalidität ca. 1.500 €/Monat beträgt, basierend auf Durchschnittswerten für ASVG-Leistungen. Die Kosten für Wohnungsanpassungen, Rehabilitation und Hilfsmittel werden jeweils mit ca. 50.000 € veranschlagt, basierend auf Erfahrungswerten.</t>
  </si>
  <si>
    <t>{"baustein_1_einmalzahlung_eur":150000,"baustein_2_unfallrente_monatlich_eur":2000,"beruecksichtigte_faktoren":["Alter: 35 Jahre","Nettoeinkommen: 5.500 €/Monat","Berufsrisiko: Bürotätigkeit","Unterhaltspflichten: verheiratet, 3 Kinder"],"berechnungslogik_baustein_1":"Die einmalige Invaliditätsleistung soll die Kosten für Wohnungsadaptierung, Rehabilitation und Hilfsmittel abdecken. Bei einem 35-jährigen Kunden mit einem Nettoeinkommen von 5.500 €/Monat und drei unterhaltspflichtigen Kindern ist eine höhere Summe erforderlich, um die Familie im Falle einer Invalidität abzusichern. Ein Betrag von 150.000 € wird als angemessen erachtet, um die einmaligen Kosten zu decken, basierend auf Erfahrungswerten für Wohnungsanpassungen (ca. 50.000 €), Rehabilitation (ca. 50.000 €) und Hilfsmittel (ca. 50.000 €).","berechnungslogik_baustein_2":"Die monatliche Unfallrente soll den Einkommensausfall ausgleichen. Bei einem Nettoeinkommen von 5.500 €/Monat und einer gesetzlichen Invaliditätspension von ca. 1.500 €/Monat (angenommener Durchschnittswert für ASVG-Leistungen bei 50% Invalidität) ergibt sich eine Versorgungslücke von 4.000 €/Monat. Um die finanzielle Belastung zu reduzieren, wird eine Unfallrente von 2.000 €/Monat empfohlen, die zusammen mit der gesetzlichen Leistung 3.500 €/Monat abdeckt, was als ausreichend erachtet wird, um den Lebensstandard der Familie zu sichern.","getroffene_annahmen":"Es wird angenommen, dass die gesetzliche Invaliditätspension bei 50% Invalidität ca. 1.500 €/Monat beträgt, basierend auf Durchschnittswerten für ASVG-Leistungen. Die Kosten für Wohnungsanpassungen, Rehabilitation und Hilfsmittel werden jeweils mit ca. 50.000 € veranschlagt, basierend auf Erfahrungswerten."}</t>
  </si>
  <si>
    <t>["Alter: 35 Jahre", "Nettoeinkommen: 5.500 €/Monat", "Berufsrisiko: Handwerker", "Unterhaltspflichten: ledig, keine Kinder"]</t>
  </si>
  <si>
    <t>Für die einmalige Invaliditätsleistung wird angenommen, dass im Falle einer dauerhaften Invalidität erhebliche einmalige Kosten entstehen können, wie z.B. Wohnungsanpassungen, Rehabilitation und Anschaffung von Hilfsmitteln. Bei einem Handwerker, der körperlich arbeitet, sind diese Anpassungen besonders wichtig. Ein Betrag von 150.000 € wird als angemessen erachtet, um diese Kosten zu decken, basierend auf Erfahrungswerten für Umbauten und Hilfsmittel, die bei körperlich anspruchsvollen Berufen notwendig sind.</t>
  </si>
  <si>
    <t>Die monatliche Unfallrente soll den Einkommensausfall ausgleichen. Bei einem Nettoeinkommen von 5.500 €/Monat und einem angenommenen gesetzlichen Invaliditätspensionsanspruch von ca. 1.500 €/Monat (basierend auf ASVG-Durchschnittswerten für das Alter und Einkommen) ergibt sich eine Versorgungslücke von 4.000 €/Monat. Um diese Lücke teilweise zu schließen und unter Berücksichtigung der Tatsache, dass der Kunde keine Unterhaltspflichten hat, wird eine Unfallrente von 2.000 €/Monat empfohlen.</t>
  </si>
  <si>
    <t>Es wird angenommen, dass der gesetzliche Invaliditätspensionsanspruch bei ca. 1.500 €/Monat liegt, basierend auf dem Durchschnitt für das Alter und Einkommen des Kunden. Es wird auch angenommen, dass der Kunde keine weiteren Einkommensquellen hat und dass die einmaligen Kosten für Anpassungen und Hilfsmittel bei einem körperlich arbeitenden Handwerker höher sind als bei Berufen mit geringerem körperlichen Risiko.</t>
  </si>
  <si>
    <t>{"baustein_1_einmalzahlung_eur":150000,"baustein_2_unfallrente_monatlich_eur":2000,"beruecksichtigte_faktoren":["Alter: 35 Jahre","Nettoeinkommen: 5.500 €/Monat","Berufsrisiko: Handwerker","Unterhaltspflichten: ledig, keine Kinder"],"berechnungslogik_baustein_1":"Für die einmalige Invaliditätsleistung wird angenommen, dass im Falle einer dauerhaften Invalidität erhebliche einmalige Kosten entstehen können, wie z.B. Wohnungsanpassungen, Rehabilitation und Anschaffung von Hilfsmitteln. Bei einem Handwerker, der körperlich arbeitet, sind diese Anpassungen besonders wichtig. Ein Betrag von 150.000 € wird als angemessen erachtet, um diese Kosten zu decken, basierend auf Erfahrungswerten für Umbauten und Hilfsmittel, die bei körperlich anspruchsvollen Berufen notwendig sind.","berechnungslogik_baustein_2":"Die monatliche Unfallrente soll den Einkommensausfall ausgleichen. Bei einem Nettoeinkommen von 5.500 €/Monat und einem angenommenen gesetzlichen Invaliditätspensionsanspruch von ca. 1.500 €/Monat (basierend auf ASVG-Durchschnittswerten für das Alter und Einkommen) ergibt sich eine Versorgungslücke von 4.000 €/Monat. Um diese Lücke teilweise zu schließen und unter Berücksichtigung der Tatsache, dass der Kunde keine Unterhaltspflichten hat, wird eine Unfallrente von 2.000 €/Monat empfohlen.","getroffene_annahmen":"Es wird angenommen, dass der gesetzliche Invaliditätspensionsanspruch bei ca. 1.500 €/Monat liegt, basierend auf dem Durchschnitt für das Alter und Einkommen des Kunden. Es wird auch angenommen, dass der Kunde keine weiteren Einkommensquellen hat und dass die einmaligen Kosten für Anpassungen und Hilfsmittel bei einem körperlich arbeitenden Handwerker höher sind als bei Berufen mit geringerem körperlichen Risiko."}</t>
  </si>
  <si>
    <t>["Alter des Kunden: 35 Jahre", "Monatliches Nettoeinkommen: 5.500 Euro", "Beruf: Handwerker", "Familienstand: ledig, keine Kinder, keine Unterhaltspflichten"]</t>
  </si>
  <si>
    <t>Für die einmalige Invaliditätsleistung wird angenommen, dass der Kunde im Falle einer dauernden Invalidität erhebliche einmalige Kosten für Wohnungsadaptierung, Rehabilitation und Hilfsmittel haben könnte. Ein Betrag von 150.000 Euro wird als angemessen erachtet, um diese Kosten zu decken. Dieser Betrag basiert auf Erfahrungswerten für die Kosten von Wohnungsumbauten (ca. 50.000 Euro), Rehabilitation (ca. 50.000 Euro) und Hilfsmitteln (ca. 50.000 Euro).</t>
  </si>
  <si>
    <t>Die monatliche Unfallrente soll den Einkommensausfall teilweise kompensieren. Der Kunde hat ein monatliches Nettoeinkommen von 5.500 Euro. Angenommen, die gesetzliche Invaliditätspension deckt etwa 40% des letzten Nettoeinkommens (ca. 2.200 Euro), ergibt sich eine Versorgungslücke von 3.300 Euro. Um diese Lücke zu reduzieren, wird eine private Unfallrente von 2.000 Euro monatlich empfohlen, was etwa 60% der Lücke abdeckt und den Lebensstandard des Kunden weitgehend sichert.</t>
  </si>
  <si>
    <t>Es wird angenommen, dass die gesetzliche Invaliditätspension etwa 40% des letzten Nettoeinkommens beträgt. Diese Annahme basiert auf typischen Ersatzraten der gesetzlichen Invaliditätspension in Österreich. Es wird ferner angenommen, dass der Kunde im Falle einer Invalidität keine weiteren Einkünfte hat.</t>
  </si>
  <si>
    <t>{"baustein_1_einmalzahlung_eur":150000,"baustein_2_unfallrente_monatlich_eur":2000,"beruecksichtigte_faktoren":["Alter des Kunden: 35 Jahre","Monatliches Nettoeinkommen: 5.500 Euro","Beruf: Handwerker","Familienstand: ledig, keine Kinder, keine Unterhaltspflichten"],"berechnungslogik_baustein_1":"Für die einmalige Invaliditätsleistung wird angenommen, dass der Kunde im Falle einer dauernden Invalidität erhebliche einmalige Kosten für Wohnungsadaptierung, Rehabilitation und Hilfsmittel haben könnte. Ein Betrag von 150.000 Euro wird als angemessen erachtet, um diese Kosten zu decken. Dieser Betrag basiert auf Erfahrungswerten für die Kosten von Wohnungsumbauten (ca. 50.000 Euro), Rehabilitation (ca. 50.000 Euro) und Hilfsmitteln (ca. 50.000 Euro).","berechnungslogik_baustein_2":"Die monatliche Unfallrente soll den Einkommensausfall teilweise kompensieren. Der Kunde hat ein monatliches Nettoeinkommen von 5.500 Euro. Angenommen, die gesetzliche Invaliditätspension deckt etwa 40% des letzten Nettoeinkommens (ca. 2.200 Euro), ergibt sich eine Versorgungslücke von 3.300 Euro. Um diese Lücke zu reduzieren, wird eine private Unfallrente von 2.000 Euro monatlich empfohlen, was etwa 60% der Lücke abdeckt und den Lebensstandard des Kunden weitgehend sichert.","getroffene_annahmen":"Es wird angenommen, dass die gesetzliche Invaliditätspension etwa 40% des letzten Nettoeinkommens beträgt. Diese Annahme basiert auf typischen Ersatzraten der gesetzlichen Invaliditätspension in Österreich. Es wird ferner angenommen, dass der Kunde im Falle einer Invalidität keine weiteren Einkünfte hat."}</t>
  </si>
  <si>
    <t>Für die einmalige Invaliditätsleistung wird angenommen, dass im Falle einer dauerhaften Invalidität erhebliche einmalige Kosten entstehen können, wie z.B. Wohnungsanpassungen, Anschaffung von Hilfsmitteln und Rehabilitationsmaßnahmen. Bei einem Handwerker, der körperlich arbeitet, sind diese Anpassungen besonders wichtig. Ein Betrag von 150.000 € wird als angemessen erachtet, um diese Kosten zu decken, basierend auf Erfahrungswerten für Wohnungsanpassungen (ca. 50.000 €), Rehabilitationskosten (ca. 50.000 €) und Hilfsmittel (ca. 50.000 €).</t>
  </si>
  <si>
    <t>Die monatliche Unfallrente soll den Einkommensausfall ausgleichen, der durch eine dauerhafte Invalidität entsteht. Bei einem Nettoeinkommen von 5.500 €/Monat und einem angenommenen gesetzlichen Invaliditätspensionsanspruch von ca. 1.500 €/Monat (basierend auf dem ASVG für einen 35-jährigen Handwerker) ergibt sich eine Versorgungslücke von 4.000 €/Monat. Um diese Lücke teilweise zu schließen und unter Berücksichtigung der Tatsache, dass der Kunde keine Unterhaltspflichten hat, wird eine Unfallrente von 2.000 €/Monat empfohlen.</t>
  </si>
  <si>
    <t>Es wird angenommen, dass der gesetzliche Invaliditätspensionsanspruch bei ca. 1.500 €/Monat liegt, basierend auf dem ASVG für einen Handwerker. Die Versorgungslücke wird auf 4.000 €/Monat geschätzt, wobei die private Unfallrente diese Lücke teilweise schließen soll. Es wird auch angenommen, dass der Kunde keine weiteren Einkommensquellen hat.</t>
  </si>
  <si>
    <t>{"baustein_1_einmalzahlung_eur":150000,"baustein_2_unfallrente_monatlich_eur":2000,"beruecksichtigte_faktoren":["Alter: 35 Jahre","Nettoeinkommen: 5.500 €/Monat","Berufsrisiko: Handwerker","Unterhaltspflichten: ledig, keine Kinder"],"berechnungslogik_baustein_1":"Für die einmalige Invaliditätsleistung wird angenommen, dass im Falle einer dauerhaften Invalidität erhebliche einmalige Kosten entstehen können, wie z.B. Wohnungsanpassungen, Anschaffung von Hilfsmitteln und Rehabilitationsmaßnahmen. Bei einem Handwerker, der körperlich arbeitet, sind diese Anpassungen besonders wichtig. Ein Betrag von 150.000 € wird als angemessen erachtet, um diese Kosten zu decken, basierend auf Erfahrungswerten für Wohnungsanpassungen (ca. 50.000 €), Rehabilitationskosten (ca. 50.000 €) und Hilfsmittel (ca. 50.000 €).","berechnungslogik_baustein_2":"Die monatliche Unfallrente soll den Einkommensausfall ausgleichen, der durch eine dauerhafte Invalidität entsteht. Bei einem Nettoeinkommen von 5.500 €/Monat und einem angenommenen gesetzlichen Invaliditätspensionsanspruch von ca. 1.500 €/Monat (basierend auf dem ASVG für einen 35-jährigen Handwerker) ergibt sich eine Versorgungslücke von 4.000 €/Monat. Um diese Lücke teilweise zu schließen und unter Berücksichtigung der Tatsache, dass der Kunde keine Unterhaltspflichten hat, wird eine Unfallrente von 2.000 €/Monat empfohlen.","getroffene_annahmen":"Es wird angenommen, dass der gesetzliche Invaliditätspensionsanspruch bei ca. 1.500 €/Monat liegt, basierend auf dem ASVG für einen Handwerker. Die Versorgungslücke wird auf 4.000 €/Monat geschätzt, wobei die private Unfallrente diese Lücke teilweise schließen soll. Es wird auch angenommen, dass der Kunde keine weiteren Einkommensquellen hat."}</t>
  </si>
  <si>
    <t>["Alter: 35 Jahre", "Nettoeinkommen: 5.500 €/Monat", "Berufsrisiko: Handwerker", "Unterhaltspflichten: verheiratet, 3 Kinder"]</t>
  </si>
  <si>
    <t>Für die einmalige Invaliditätsleistung wird eine Summe berechnet, die die Kosten für Wohnungsadaptierung, Rehabilitation und Hilfsmittel abdeckt. Bei einem Handwerker mit einem hohen Risiko für körperliche Beeinträchtigungen und einem Haushalt mit 3 Kindern ist eine höhere Summe erforderlich. Durchschnittliche Kosten für Wohnungsanpassungen und Hilfsmittel können bei 100.000 € liegen. Zusätzlich werden 50.000 € für Rehabilitationsmaßnahmen und sonstige unvorhergesehene Kosten veranschlagt. Daher ergibt sich eine empfohlene Summe von 150.000 €.</t>
  </si>
  <si>
    <t>Die monatliche Unfallrente soll den Einkommensausfall ausgleichen. Bei einem Nettoeinkommen von 5.500 €/Monat und einem gesetzlichen Invaliditätspensionsanspruch von ca. 1.500 €/Monat (angenommener Durchschnittswert für einen Handwerker) ergibt sich eine Versorgungslücke von 4.000 €/Monat. Um die finanzielle Belastung zu reduzieren, wird eine Unfallrente von 2.500 €/Monat empfohlen, die etwa 62,5% der Lücke abdeckt und die finanzielle Stabilität der Familie unterstützt.</t>
  </si>
  <si>
    <t>Es wird angenommen, dass die gesetzliche Invaliditätspension für einen Handwerker bei etwa 1.500 €/Monat liegt. Die Kosten für Wohnungsanpassungen und Hilfsmittel werden auf 100.000 € geschätzt, basierend auf durchschnittlichen Marktwerten. Rehabilitationskosten und sonstige unvorhergesehene Ausgaben werden mit 50.000 € veranschlagt.</t>
  </si>
  <si>
    <t>{"baustein_1_einmalzahlung_eur":150000,"baustein_2_unfallrente_monatlich_eur":2500,"beruecksichtigte_faktoren":["Alter: 35 Jahre","Nettoeinkommen: 5.500 €/Monat","Berufsrisiko: Handwerker","Unterhaltspflichten: verheiratet, 3 Kinder"],"berechnungslogik_baustein_1":"Für die einmalige Invaliditätsleistung wird eine Summe berechnet, die die Kosten für Wohnungsadaptierung, Rehabilitation und Hilfsmittel abdeckt. Bei einem Handwerker mit einem hohen Risiko für körperliche Beeinträchtigungen und einem Haushalt mit 3 Kindern ist eine höhere Summe erforderlich. Durchschnittliche Kosten für Wohnungsanpassungen und Hilfsmittel können bei 100.000 € liegen. Zusätzlich werden 50.000 € für Rehabilitationsmaßnahmen und sonstige unvorhergesehene Kosten veranschlagt. Daher ergibt sich eine empfohlene Summe von 150.000 €.","berechnungslogik_baustein_2":"Die monatliche Unfallrente soll den Einkommensausfall ausgleichen. Bei einem Nettoeinkommen von 5.500 €/Monat und einem gesetzlichen Invaliditätspensionsanspruch von ca. 1.500 €/Monat (angenommener Durchschnittswert für einen Handwerker) ergibt sich eine Versorgungslücke von 4.000 €/Monat. Um die finanzielle Belastung zu reduzieren, wird eine Unfallrente von 2.500 €/Monat empfohlen, die etwa 62,5% der Lücke abdeckt und die finanzielle Stabilität der Familie unterstützt.","getroffene_annahmen":"Es wird angenommen, dass die gesetzliche Invaliditätspension für einen Handwerker bei etwa 1.500 €/Monat liegt. Die Kosten für Wohnungsanpassungen und Hilfsmittel werden auf 100.000 € geschätzt, basierend auf durchschnittlichen Marktwerten. Rehabilitationskosten und sonstige unvorhergesehene Ausgaben werden mit 50.000 € veranschlagt."}</t>
  </si>
  <si>
    <t>["Alter des Kunden: 35 Jahre", "Beruf des Kunden: Handwerker", "Monatliches Nettoeinkommen: 5.500 Euro", "Familienstand: verheiratet", "Anzahl der Kinder: 3", "Unterhaltspflichten"]</t>
  </si>
  <si>
    <t>Für die einmalige Invaliditätsleistung wird eine Summe berechnet, die die Kosten für Wohnungsadaptierung, Rehabilitation und Hilfsmittel abdeckt. Angenommen wird ein Bedarf von 100.000 Euro für Wohnungsanpassungen und 50.000 Euro für Rehabilitation und Hilfsmittel. Diese Annahmen basieren auf durchschnittlichen Kosten für solche Maßnahmen in Österreich.</t>
  </si>
  <si>
    <t>Die monatliche Unfallrente soll den Einkommensausfall abdecken. Bei einem Nettoeinkommen von 5.500 Euro und einer angenommenen gesetzlichen Invaliditätspension von 1.500 Euro (basierend auf ASVG-Durchschnittswerten) ergibt sich eine Versorgungslücke von 4.000 Euro. Um die finanzielle Belastung zu reduzieren, wird eine Unfallrente von 2.500 Euro empfohlen, die zusammen mit der gesetzlichen Leistung einen Großteil des Einkommensausfalls abdeckt.</t>
  </si>
  <si>
    <t>Es wird angenommen, dass die gesetzliche Invaliditätspension bei 1.500 Euro liegt, basierend auf Durchschnittswerten für ASVG-Leistungen. Die Kosten für Wohnungsanpassungen und Rehabilitation werden auf Basis von Erfahrungswerten geschätzt.</t>
  </si>
  <si>
    <t>{"baustein_1_einmalzahlung_eur":150000,"baustein_2_unfallrente_monatlich_eur":2500,"beruecksichtigte_faktoren":["Alter des Kunden: 35 Jahre","Beruf des Kunden: Handwerker","Monatliches Nettoeinkommen: 5.500 Euro","Familienstand: verheiratet","Anzahl der Kinder: 3","Unterhaltspflichten"],"berechnungslogik_baustein_1":"Für die einmalige Invaliditätsleistung wird eine Summe berechnet, die die Kosten für Wohnungsadaptierung, Rehabilitation und Hilfsmittel abdeckt. Angenommen wird ein Bedarf von 100.000 Euro für Wohnungsanpassungen und 50.000 Euro für Rehabilitation und Hilfsmittel. Diese Annahmen basieren auf durchschnittlichen Kosten für solche Maßnahmen in Österreich.","berechnungslogik_baustein_2":"Die monatliche Unfallrente soll den Einkommensausfall abdecken. Bei einem Nettoeinkommen von 5.500 Euro und einer angenommenen gesetzlichen Invaliditätspension von 1.500 Euro (basierend auf ASVG-Durchschnittswerten) ergibt sich eine Versorgungslücke von 4.000 Euro. Um die finanzielle Belastung zu reduzieren, wird eine Unfallrente von 2.500 Euro empfohlen, die zusammen mit der gesetzlichen Leistung einen Großteil des Einkommensausfalls abdeckt.","getroffene_annahmen":"Es wird angenommen, dass die gesetzliche Invaliditätspension bei 1.500 Euro liegt, basierend auf Durchschnittswerten für ASVG-Leistungen. Die Kosten für Wohnungsanpassungen und Rehabilitation werden auf Basis von Erfahrungswerten geschätzt."}</t>
  </si>
  <si>
    <t>Die einmalige Invaliditätsleistung soll die Kosten für Wohnungsadaptierung, Rehabilitation und Hilfsmittel abdecken. Bei einem Handwerker mit einem hohen Berufsrisiko und einer Familie mit 3 Kindern ist eine höhere Summe erforderlich. Durchschnittliche Kosten für Wohnungsanpassungen und Hilfsmittel können bei schwerer Invalidität bis zu 200.000 € betragen. Zusätzlich werden 50.000 € für unvorhergesehene Ausgaben und Rehabilitationsmaßnahmen eingeplant.</t>
  </si>
  <si>
    <t>Die monatliche Unfallrente soll den Einkommensausfall ausgleichen. Bei einem Nettoeinkommen von 5.500 €/Monat und einer gesetzlichen Invaliditätspension von ca. 1.500 €/Monat (angenommener Durchschnittswert für einen Handwerker) ergibt sich eine Versorgungslücke von 4.000 €/Monat. Um die finanzielle Belastung zu reduzieren, wird eine Unfallrente von 3.000 €/Monat empfohlen, die zusammen mit der gesetzlichen Leistung 4.500 €/Monat ergibt, was den Großteil des bisherigen Einkommens abdeckt.</t>
  </si>
  <si>
    <t>Es wird angenommen, dass die gesetzliche Invaliditätspension bei einem Invaliditätsgrad von 50 % ca. 1.500 €/Monat beträgt, basierend auf Durchschnittswerten für Handwerker. Die Kosten für Wohnungsanpassungen und Hilfsmittel werden auf 200.000 € geschätzt, basierend auf Erfahrungswerten bei schwerer Invalidität.</t>
  </si>
  <si>
    <t>{"baustein_1_einmalzahlung_eur":250000,"baustein_2_unfallrente_monatlich_eur":3000,"beruecksichtigte_faktoren":["Alter: 35 Jahre","Nettoeinkommen: 5.500 €/Monat","Berufsrisiko: Handwerker","Unterhaltspflichten: verheiratet, 3 Kinder"],"berechnungslogik_baustein_1":"Die einmalige Invaliditätsleistung soll die Kosten für Wohnungsadaptierung, Rehabilitation und Hilfsmittel abdecken. Bei einem Handwerker mit einem hohen Berufsrisiko und einer Familie mit 3 Kindern ist eine höhere Summe erforderlich. Durchschnittliche Kosten für Wohnungsanpassungen und Hilfsmittel können bei schwerer Invalidität bis zu 200.000 € betragen. Zusätzlich werden 50.000 € für unvorhergesehene Ausgaben und Rehabilitationsmaßnahmen eingeplant.","berechnungslogik_baustein_2":"Die monatliche Unfallrente soll den Einkommensausfall ausgleichen. Bei einem Nettoeinkommen von 5.500 €/Monat und einer gesetzlichen Invaliditätspension von ca. 1.500 €/Monat (angenommener Durchschnittswert für einen Handwerker) ergibt sich eine Versorgungslücke von 4.000 €/Monat. Um die finanzielle Belastung zu reduzieren, wird eine Unfallrente von 3.000 €/Monat empfohlen, die zusammen mit der gesetzlichen Leistung 4.500 €/Monat ergibt, was den Großteil des bisherigen Einkommens abdeckt.","getroffene_annahmen":"Es wird angenommen, dass die gesetzliche Invaliditätspension bei einem Invaliditätsgrad von 50 % ca. 1.500 €/Monat beträgt, basierend auf Durchschnittswerten für Handwerker. Die Kosten für Wohnungsanpassungen und Hilfsmittel werden auf 200.000 € geschätzt, basierend auf Erfahrungswerten bei schwerer Invalidität."}</t>
  </si>
  <si>
    <t>["Alter: 35 Jahre", "Nettoeinkommen: 5.500 €/Monat", "Berufsrisiko: Dachdecker/Gerüstbauer", "Unterhaltspflichten: ledig, keine Kinder"]</t>
  </si>
  <si>
    <t>Für die einmalige Invaliditätsleistung wird eine Kapitalzahlung zur Deckung einmaliger Kosten im Invaliditätsfall benötigt. Berücksichtigt wurden die hohen beruflichen Risiken als Dachdecker/Gerüstbauer, die zu einer erhöhten Wahrscheinlichkeit für Unfälle führen. Die Kosten für Wohnungsadaptierung, Rehabilitation und Hilfsmittel wurden auf Basis von Erfahrungswerten für Berufe mit hohem Risiko auf 150.000 € geschätzt.</t>
  </si>
  <si>
    <t>Die monatliche Unfallrente soll den Einkommensausfall ausgleichen. Bei einem Nettoeinkommen von 5.500 €/Monat und einem angenommenen gesetzlichen Invaliditätspensionsanspruch von ca. 1.500 €/Monat (basierend auf ASVG für einen 35-jährigen ohne Kinder) ergibt sich eine Versorgungslücke von 4.000 €/Monat. Um diese Lücke teilweise zu schließen und unter Berücksichtigung des hohen Berufsrisikos, wird eine Unfallrente von 2.000 €/Monat empfohlen.</t>
  </si>
  <si>
    <t>Es wird angenommen, dass der gesetzliche Invaliditätspensionsanspruch bei ca. 1.500 €/Monat liegt, basierend auf dem ASVG für einen 35-jährigen ohne Kinder. Die Versorgungslücke wird auf 4.000 €/Monat geschätzt, wobei die private Unfallrente diese Lücke teilweise schließen soll. Die einmalige Invaliditätsleistung basiert auf Erfahrungswerten für Berufe mit hohem Risiko.</t>
  </si>
  <si>
    <t>{"baustein_1_einmalzahlung_eur":150000,"baustein_2_unfallrente_monatlich_eur":2000,"beruecksichtigte_faktoren":["Alter: 35 Jahre","Nettoeinkommen: 5.500 €/Monat","Berufsrisiko: Dachdecker/Gerüstbauer","Unterhaltspflichten: ledig, keine Kinder"],"berechnungslogik_baustein_1":"Für die einmalige Invaliditätsleistung wird eine Kapitalzahlung zur Deckung einmaliger Kosten im Invaliditätsfall benötigt. Berücksichtigt wurden die hohen beruflichen Risiken als Dachdecker/Gerüstbauer, die zu einer erhöhten Wahrscheinlichkeit für Unfälle führen. Die Kosten für Wohnungsadaptierung, Rehabilitation und Hilfsmittel wurden auf Basis von Erfahrungswerten für Berufe mit hohem Risiko auf 150.000 € geschätzt.","berechnungslogik_baustein_2":"Die monatliche Unfallrente soll den Einkommensausfall ausgleichen. Bei einem Nettoeinkommen von 5.500 €/Monat und einem angenommenen gesetzlichen Invaliditätspensionsanspruch von ca. 1.500 €/Monat (basierend auf ASVG für einen 35-jährigen ohne Kinder) ergibt sich eine Versorgungslücke von 4.000 €/Monat. Um diese Lücke teilweise zu schließen und unter Berücksichtigung des hohen Berufsrisikos, wird eine Unfallrente von 2.000 €/Monat empfohlen.","getroffene_annahmen":"Es wird angenommen, dass der gesetzliche Invaliditätspensionsanspruch bei ca. 1.500 €/Monat liegt, basierend auf dem ASVG für einen 35-jährigen ohne Kinder. Die Versorgungslücke wird auf 4.000 €/Monat geschätzt, wobei die private Unfallrente diese Lücke teilweise schließen soll. Die einmalige Invaliditätsleistung basiert auf Erfahrungswerten für Berufe mit hohem Risiko."}</t>
  </si>
  <si>
    <t>["Alter des Kunden: 35 Jahre", "Beruf: Dachdecker/Gerüstbauer", "Monatliches Nettoeinkommen: 5.500 Euro", "Familienstand: ledig, keine Unterhaltspflichten"]</t>
  </si>
  <si>
    <t>Für die einmalige Invaliditätsleistung wird eine Summe berechnet, die die Kosten für Wohnungsadaptierung, Rehabilitation und Hilfsmittel abdeckt. Angesichts des Berufs als Dachdecker/Gerüstbauer, der ein hohes Risiko für schwere Unfälle birgt, und des jungen Alters des Kunden, wird eine höhere Summe von 150.000 Euro empfohlen. Diese Summe berücksichtigt die Notwendigkeit, das Zuhause barrierefrei zu gestalten und mögliche langfristige Rehabilitationskosten zu decken.</t>
  </si>
  <si>
    <t>Die monatliche Unfallrente soll den Einkommensausfall ausgleichen. Bei einem Nettoeinkommen von 5.500 Euro und unter Berücksichtigung der gesetzlichen Invaliditätspension, die bei etwa 1.500 Euro monatlich liegt, ergibt sich eine Versorgungslücke von 4.000 Euro. Um diese Lücke teilweise zu schließen und den Lebensstandard zu sichern, wird eine Unfallrente von 2.000 Euro monatlich empfohlen. Dies entspricht etwa 36% des bisherigen Nettoeinkommens und berücksichtigt, dass der Kunde keine Unterhaltspflichten hat.</t>
  </si>
  <si>
    <t>Es wird angenommen, dass die gesetzliche Invaliditätspension bei einem Invaliditätsgrad von 50% etwa 1.500 Euro monatlich beträgt. Diese Annahme basiert auf durchschnittlichen Werten für die Invaliditätspension in Österreich. Es wird ferner angenommen, dass der Kunde keine weiteren Einkommensquellen oder Vermögenswerte hat, die im Invaliditätsfall zur Verfügung stehen würden.</t>
  </si>
  <si>
    <t>{"baustein_1_einmalzahlung_eur":150000,"baustein_2_unfallrente_monatlich_eur":2000,"beruecksichtigte_faktoren":["Alter des Kunden: 35 Jahre","Beruf: Dachdecker/Gerüstbauer","Monatliches Nettoeinkommen: 5.500 Euro","Familienstand: ledig, keine Unterhaltspflichten"],"berechnungslogik_baustein_1":"Für die einmalige Invaliditätsleistung wird eine Summe berechnet, die die Kosten für Wohnungsadaptierung, Rehabilitation und Hilfsmittel abdeckt. Angesichts des Berufs als Dachdecker/Gerüstbauer, der ein hohes Risiko für schwere Unfälle birgt, und des jungen Alters des Kunden, wird eine höhere Summe von 150.000 Euro empfohlen. Diese Summe berücksichtigt die Notwendigkeit, das Zuhause barrierefrei zu gestalten und mögliche langfristige Rehabilitationskosten zu decken.","berechnungslogik_baustein_2":"Die monatliche Unfallrente soll den Einkommensausfall ausgleichen. Bei einem Nettoeinkommen von 5.500 Euro und unter Berücksichtigung der gesetzlichen Invaliditätspension, die bei etwa 1.500 Euro monatlich liegt, ergibt sich eine Versorgungslücke von 4.000 Euro. Um diese Lücke teilweise zu schließen und den Lebensstandard zu sichern, wird eine Unfallrente von 2.000 Euro monatlich empfohlen. Dies entspricht etwa 36% des bisherigen Nettoeinkommens und berücksichtigt, dass der Kunde keine Unterhaltspflichten hat.","getroffene_annahmen":"Es wird angenommen, dass die gesetzliche Invaliditätspension bei einem Invaliditätsgrad von 50% etwa 1.500 Euro monatlich beträgt. Diese Annahme basiert auf durchschnittlichen Werten für die Invaliditätspension in Österreich. Es wird ferner angenommen, dass der Kunde keine weiteren Einkommensquellen oder Vermögenswerte hat, die im Invaliditätsfall zur Verfügung stehen würden."}</t>
  </si>
  <si>
    <t>Die einmalige Invaliditätsleistung soll die Kosten für Wohnungsadaptierung, Rehabilitation und Hilfsmittel abdecken. Bei einem Berufsrisiko als Dachdecker/Gerüstbauer ist das Unfallrisiko hoch, was höhere Anpassungskosten im Invaliditätsfall bedeuten kann. Ein Betrag von 150.000 € wird als angemessen erachtet, um diese Kosten zu decken, basierend auf Erfahrungswerten für bauliche Anpassungen und medizinische Hilfsmittel.</t>
  </si>
  <si>
    <t>Die monatliche Unfallrente soll den Einkommensausfall ausgleichen. Bei einem Nettoeinkommen von 5.500 €/Monat und einem hohen Berufsrisiko wird eine Unfallrente von 2.500 €/Monat empfohlen. Dies berücksichtigt die Differenz zwischen dem Nettoeinkommen und der zu erwartenden Invaliditätspension, die bei etwa 50% des letzten Einkommens liegt, also ca. 2.750 €/Monat. Die Unfallrente schließt die Lücke zum vollen Nettoeinkommen.</t>
  </si>
  <si>
    <t>Es wird angenommen, dass die gesetzliche Invaliditätspension bei etwa 50% des letzten Nettoeinkommens liegt. Es wird weiterhin angenommen, dass keine weiteren Einkommensquellen oder Vermögenswerte zur Verfügung stehen, die im Invaliditätsfall genutzt werden könnten.</t>
  </si>
  <si>
    <t>{"baustein_1_einmalzahlung_eur":150000,"baustein_2_unfallrente_monatlich_eur":2500,"beruecksichtigte_faktoren":["Alter: 35 Jahre","Nettoeinkommen: 5.500 €/Monat","Berufsrisiko: Dachdecker/Gerüstbauer","Unterhaltspflichten: ledig, keine Kinder"],"berechnungslogik_baustein_1":"Die einmalige Invaliditätsleistung soll die Kosten für Wohnungsadaptierung, Rehabilitation und Hilfsmittel abdecken. Bei einem Berufsrisiko als Dachdecker/Gerüstbauer ist das Unfallrisiko hoch, was höhere Anpassungskosten im Invaliditätsfall bedeuten kann. Ein Betrag von 150.000 € wird als angemessen erachtet, um diese Kosten zu decken, basierend auf Erfahrungswerten für bauliche Anpassungen und medizinische Hilfsmittel.","berechnungslogik_baustein_2":"Die monatliche Unfallrente soll den Einkommensausfall ausgleichen. Bei einem Nettoeinkommen von 5.500 €/Monat und einem hohen Berufsrisiko wird eine Unfallrente von 2.500 €/Monat empfohlen. Dies berücksichtigt die Differenz zwischen dem Nettoeinkommen und der zu erwartenden Invaliditätspension, die bei etwa 50% des letzten Einkommens liegt, also ca. 2.750 €/Monat. Die Unfallrente schließt die Lücke zum vollen Nettoeinkommen.","getroffene_annahmen":"Es wird angenommen, dass die gesetzliche Invaliditätspension bei etwa 50% des letzten Nettoeinkommens liegt. Es wird weiterhin angenommen, dass keine weiteren Einkommensquellen oder Vermögenswerte zur Verfügung stehen, die im Invaliditätsfall genutzt werden könnten."}</t>
  </si>
  <si>
    <t>["Alter: 35 Jahre", "Nettoeinkommen: 5.500 €/Monat", "Berufsrisiko: Dachdecker/Gerüstbauer", "Unterhaltspflichten: verheiratet, 3 Kinder"]</t>
  </si>
  <si>
    <t>Die einmalige Invaliditätsleistung soll die Kosten für Wohnungsadaptierung, Rehabilitation und Hilfsmittel abdecken. Angesichts des hohen Berufsrisikos und der familiären Verpflichtungen (verheiratet, 3 Kinder) wird eine Summe von 150.000 € empfohlen. Diese Summe berücksichtigt die Notwendigkeit, das Zuhause barrierefrei zu gestalten und mögliche Rehabilitationskosten zu decken.</t>
  </si>
  <si>
    <t>Die monatliche Unfallrente soll den Einkommensausfall ausgleichen. Bei einem Nettoeinkommen von 5.500 €/Monat und einem angenommenen gesetzlichen Invaliditätspensionsanspruch von ca. 1.500 €/Monat (basierend auf ASVG für einen Durchschnittsverdiener) ergibt sich eine Versorgungslücke von 4.000 €. Um die finanzielle Belastung zu reduzieren, wird eine Unfallrente von 3.000 €/Monat empfohlen, die zusammen mit der gesetzlichen Leistung den Großteil des Einkommensausfalls abdeckt.</t>
  </si>
  <si>
    <t>Es wird angenommen, dass die gesetzliche Invaliditätspension bei einem Invaliditätsgrad von 50 % ca. 1.500 €/Monat beträgt, basierend auf einem Durchschnittsverdiener im ASVG-System. Die Versorgungslücke wird durch die private Unfallrente teilweise geschlossen.</t>
  </si>
  <si>
    <t>{"baustein_1_einmalzahlung_eur":150000,"baustein_2_unfallrente_monatlich_eur":3000,"beruecksichtigte_faktoren":["Alter: 35 Jahre","Nettoeinkommen: 5.500 €/Monat","Berufsrisiko: Dachdecker/Gerüstbauer","Unterhaltspflichten: verheiratet, 3 Kinder"],"berechnungslogik_baustein_1":"Die einmalige Invaliditätsleistung soll die Kosten für Wohnungsadaptierung, Rehabilitation und Hilfsmittel abdecken. Angesichts des hohen Berufsrisikos und der familiären Verpflichtungen (verheiratet, 3 Kinder) wird eine Summe von 150.000 € empfohlen. Diese Summe berücksichtigt die Notwendigkeit, das Zuhause barrierefrei zu gestalten und mögliche Rehabilitationskosten zu decken.","berechnungslogik_baustein_2":"Die monatliche Unfallrente soll den Einkommensausfall ausgleichen. Bei einem Nettoeinkommen von 5.500 €/Monat und einem angenommenen gesetzlichen Invaliditätspensionsanspruch von ca. 1.500 €/Monat (basierend auf ASVG für einen Durchschnittsverdiener) ergibt sich eine Versorgungslücke von 4.000 €. Um die finanzielle Belastung zu reduzieren, wird eine Unfallrente von 3.000 €/Monat empfohlen, die zusammen mit der gesetzlichen Leistung den Großteil des Einkommensausfalls abdeckt.","getroffene_annahmen":"Es wird angenommen, dass die gesetzliche Invaliditätspension bei einem Invaliditätsgrad von 50 % ca. 1.500 €/Monat beträgt, basierend auf einem Durchschnittsverdiener im ASVG-System. Die Versorgungslücke wird durch die private Unfallrente teilweise geschlossen."}</t>
  </si>
  <si>
    <t>["Alter des Kunden: 35 Jahre", "Beruf des Kunden: Dachdecker/Gerüstbauer", "Monatliches Nettoeinkommen: 5.500 Euro", "Familienstand: verheiratet, 3 Kinder", "Unterhaltspflichten"]</t>
  </si>
  <si>
    <t>Für die einmalige Invaliditätsleistung wird eine Summe berechnet, die die Kosten für Wohnungsadaptierung, Rehabilitation und Hilfsmittel abdeckt. Angenommen wird ein Bedarf von 100.000 Euro für Wohnungsanpassungen (z.B. barrierefreier Umbau), 30.000 Euro für Rehabilitation und 20.000 Euro für Hilfsmittel. Diese Summen basieren auf Erfahrungswerten für umfangreiche Anpassungen und medizinische Versorgung bei schwerer Invalidität.</t>
  </si>
  <si>
    <t>Die monatliche Unfallrente soll den Einkommensausfall teilweise kompensieren. Bei einem Nettoeinkommen von 5.500 Euro und einer angenommenen gesetzlichen Invaliditätspension von ca. 1.500 Euro (basierend auf ASVG-Durchschnittswerten für vergleichbare Fälle) ergibt sich eine Versorgungslücke von 4.000 Euro. Um diese Lücke zu schließen und den Lebensstandard zu sichern, wird eine Unfallrente von 2.500 Euro empfohlen, die zusammen mit der gesetzlichen Leistung einen Großteil des Einkommensausfalls abdeckt.</t>
  </si>
  <si>
    <t>Es wird angenommen, dass die gesetzliche Invaliditätspension bei voller Erwerbsminderung ca. 1.500 Euro beträgt, basierend auf Durchschnittswerten für vergleichbare Berufsgruppen. Die Kosten für Wohnungsanpassungen, Rehabilitation und Hilfsmittel basieren auf Erfahrungswerten für schwerwiegende Invaliditätsfälle.</t>
  </si>
  <si>
    <t>{"baustein_1_einmalzahlung_eur":150000,"baustein_2_unfallrente_monatlich_eur":2500,"beruecksichtigte_faktoren":["Alter des Kunden: 35 Jahre","Beruf des Kunden: Dachdecker/Gerüstbauer","Monatliches Nettoeinkommen: 5.500 Euro","Familienstand: verheiratet, 3 Kinder","Unterhaltspflichten"],"berechnungslogik_baustein_1":"Für die einmalige Invaliditätsleistung wird eine Summe berechnet, die die Kosten für Wohnungsadaptierung, Rehabilitation und Hilfsmittel abdeckt. Angenommen wird ein Bedarf von 100.000 Euro für Wohnungsanpassungen (z.B. barrierefreier Umbau), 30.000 Euro für Rehabilitation und 20.000 Euro für Hilfsmittel. Diese Summen basieren auf Erfahrungswerten für umfangreiche Anpassungen und medizinische Versorgung bei schwerer Invalidität.","berechnungslogik_baustein_2":"Die monatliche Unfallrente soll den Einkommensausfall teilweise kompensieren. Bei einem Nettoeinkommen von 5.500 Euro und einer angenommenen gesetzlichen Invaliditätspension von ca. 1.500 Euro (basierend auf ASVG-Durchschnittswerten für vergleichbare Fälle) ergibt sich eine Versorgungslücke von 4.000 Euro. Um diese Lücke zu schließen und den Lebensstandard zu sichern, wird eine Unfallrente von 2.500 Euro empfohlen, die zusammen mit der gesetzlichen Leistung einen Großteil des Einkommensausfalls abdeckt.","getroffene_annahmen":"Es wird angenommen, dass die gesetzliche Invaliditätspension bei voller Erwerbsminderung ca. 1.500 Euro beträgt, basierend auf Durchschnittswerten für vergleichbare Berufsgruppen. Die Kosten für Wohnungsanpassungen, Rehabilitation und Hilfsmittel basieren auf Erfahrungswerten für schwerwiegende Invaliditätsfälle."}</t>
  </si>
  <si>
    <t>Die einmalige Invaliditätsleistung soll die Kosten für Wohnungsadaptierung, Rehabilitation und Hilfsmittel abdecken. Bei einem hohen Berufsrisiko und einer Familie mit 3 Kindern ist eine höhere Summe erforderlich. Durchschnittliche Kosten für Wohnungsanpassungen und Hilfsmittel können bei schwerer Invalidität bis zu 200.000 € betragen. Zusätzlich werden 100.000 € für unvorhergesehene Ausgaben und langfristige Anpassungen eingeplant, was zu einer Gesamtsumme von 300.000 € führt.</t>
  </si>
  <si>
    <t>Die monatliche Unfallrente soll den Einkommensausfall ausgleichen. Bei einem Nettoeinkommen von 5.500 €/Monat und einem hohen Berufsrisiko wird eine Unfallrente von 2.500 €/Monat empfohlen. Dies berücksichtigt die gesetzliche Invaliditätspension, die bei etwa 50% des letzten Einkommens liegt, also ca. 2.750 €. Die private Unfallrente schließt die Lücke, um den Lebensstandard zu halten.</t>
  </si>
  <si>
    <t>Es wird angenommen, dass die gesetzliche Invaliditätspension etwa 50% des letzten Nettoeinkommens beträgt. Die Kosten für Wohnungsanpassungen und Hilfsmittel bei schwerer Invalidität werden auf 200.000 € geschätzt. Unvorhergesehene Ausgaben und langfristige Anpassungen werden mit 100.000 € berücksichtigt.</t>
  </si>
  <si>
    <t>{"baustein_1_einmalzahlung_eur":300000,"baustein_2_unfallrente_monatlich_eur":2500,"beruecksichtigte_faktoren":["Alter: 35 Jahre","Nettoeinkommen: 5.500 €/Monat","Berufsrisiko: Dachdecker/Gerüstbauer","Unterhaltspflichten: verheiratet, 3 Kinder"],"berechnungslogik_baustein_1":"Die einmalige Invaliditätsleistung soll die Kosten für Wohnungsadaptierung, Rehabilitation und Hilfsmittel abdecken. Bei einem hohen Berufsrisiko und einer Familie mit 3 Kindern ist eine höhere Summe erforderlich. Durchschnittliche Kosten für Wohnungsanpassungen und Hilfsmittel können bei schwerer Invalidität bis zu 200.000 € betragen. Zusätzlich werden 100.000 € für unvorhergesehene Ausgaben und langfristige Anpassungen eingeplant, was zu einer Gesamtsumme von 300.000 € führt.","berechnungslogik_baustein_2":"Die monatliche Unfallrente soll den Einkommensausfall ausgleichen. Bei einem Nettoeinkommen von 5.500 €/Monat und einem hohen Berufsrisiko wird eine Unfallrente von 2.500 €/Monat empfohlen. Dies berücksichtigt die gesetzliche Invaliditätspension, die bei etwa 50% des letzten Einkommens liegt, also ca. 2.750 €. Die private Unfallrente schließt die Lücke, um den Lebensstandard zu halten.","getroffene_annahmen":"Es wird angenommen, dass die gesetzliche Invaliditätspension etwa 50% des letzten Nettoeinkommens beträgt. Die Kosten für Wohnungsanpassungen und Hilfsmittel bei schwerer Invalidität werden auf 200.000 € geschätzt. Unvorhergesehene Ausgaben und langfristige Anpassungen werden mit 100.000 € berücksichtigt."}</t>
  </si>
  <si>
    <t>Modell</t>
  </si>
  <si>
    <t>Profil</t>
  </si>
  <si>
    <t>Baustein</t>
  </si>
  <si>
    <t>Mittelwert</t>
  </si>
  <si>
    <t>Spannweite</t>
  </si>
  <si>
    <t>VK</t>
  </si>
  <si>
    <t>VK &gt; 0,05</t>
  </si>
  <si>
    <t>Claude</t>
  </si>
  <si>
    <t>B1</t>
  </si>
  <si>
    <t>B2</t>
  </si>
  <si>
    <t>Gemini</t>
  </si>
  <si>
    <t>GPT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</si>
</sst>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h:mm"/>
    <numFmt numFmtId="165" formatCode="#,##0.0"/>
    <numFmt numFmtId="166" formatCode="0.0000"/>
  </numFmts>
  <fonts count="4" x14ac:knownFonts="1">
    <font>
      <sz val="11"/>
      <color theme="1"/>
      <name val="Aptos Narrow"/>
      <family val="2"/>
      <charset val="1"/>
    </font>
    <font>
      <sz val="11"/>
      <name val="Arial"/>
      <family val="2"/>
    </font>
    <font>
      <sz val="8"/>
      <name val="Aptos Narrow"/>
      <family val="2"/>
      <charset val="1"/>
    </font>
    <font>
      <b/>
      <sz val="11"/>
      <color theme="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5" fontId="1" fillId="0" borderId="0" xfId="0" applyNumberFormat="1" applyFont="1"/>
    <xf numFmtId="3" fontId="1" fillId="0" borderId="0" xfId="0" applyNumberFormat="1" applyFont="1"/>
    <xf numFmtId="166" fontId="1" fillId="0" borderId="0" xfId="0" applyNumberFormat="1" applyFont="1"/>
    <xf numFmtId="0" fontId="1" fillId="0" borderId="0" xfId="0" applyFont="1" applyAlignment="1">
      <alignment horizontal="center"/>
    </xf>
    <xf numFmtId="0" fontId="0" fillId="0" borderId="0" xfId="0" applyAlignment="1"/>
    <xf numFmtId="164" fontId="0" fillId="0" borderId="0" xfId="0" applyNumberFormat="1" applyAlignment="1"/>
    <xf numFmtId="0" fontId="3" fillId="0" borderId="0" xfId="0" applyFont="1" applyAlignment="1">
      <alignment horizontal="center"/>
    </xf>
  </cellXfs>
  <cellStyles count="1">
    <cellStyle name="Standard" xfId="0" builtinId="0"/>
  </cellStyles>
  <dxfs count="60">
    <dxf>
      <font>
        <b/>
        <i val="0"/>
        <strike val="0"/>
        <condense val="0"/>
        <extend val="0"/>
        <outline val="0"/>
        <shadow val="0"/>
        <u val="none"/>
        <vertAlign val="baseline"/>
        <sz val="11"/>
        <color theme="0"/>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auto="1"/>
        <name val="Arial"/>
        <family val="2"/>
        <scheme val="none"/>
      </font>
      <numFmt numFmtId="166" formatCode="0.0000"/>
    </dxf>
    <dxf>
      <font>
        <b val="0"/>
        <i val="0"/>
        <strike val="0"/>
        <condense val="0"/>
        <extend val="0"/>
        <outline val="0"/>
        <shadow val="0"/>
        <u val="none"/>
        <vertAlign val="baseline"/>
        <sz val="11"/>
        <color auto="1"/>
        <name val="Arial"/>
        <family val="2"/>
        <scheme val="none"/>
      </font>
      <numFmt numFmtId="3" formatCode="#,##0"/>
    </dxf>
    <dxf>
      <font>
        <b val="0"/>
        <i val="0"/>
        <strike val="0"/>
        <condense val="0"/>
        <extend val="0"/>
        <outline val="0"/>
        <shadow val="0"/>
        <u val="none"/>
        <vertAlign val="baseline"/>
        <sz val="11"/>
        <color auto="1"/>
        <name val="Arial"/>
        <family val="2"/>
        <scheme val="none"/>
      </font>
      <numFmt numFmtId="165" formatCode="#,##0.0"/>
    </dxf>
    <dxf>
      <font>
        <b val="0"/>
        <i val="0"/>
        <strike val="0"/>
        <condense val="0"/>
        <extend val="0"/>
        <outline val="0"/>
        <shadow val="0"/>
        <u val="none"/>
        <vertAlign val="baseline"/>
        <sz val="11"/>
        <color auto="1"/>
        <name val="Arial"/>
        <family val="2"/>
        <scheme val="none"/>
      </font>
      <numFmt numFmtId="3" formatCode="#,##0"/>
    </dxf>
    <dxf>
      <font>
        <b val="0"/>
        <i val="0"/>
        <strike val="0"/>
        <condense val="0"/>
        <extend val="0"/>
        <outline val="0"/>
        <shadow val="0"/>
        <u val="none"/>
        <vertAlign val="baseline"/>
        <sz val="11"/>
        <color auto="1"/>
        <name val="Arial"/>
        <family val="2"/>
        <scheme val="none"/>
      </font>
      <numFmt numFmtId="3" formatCode="#,##0"/>
    </dxf>
    <dxf>
      <font>
        <b val="0"/>
        <i val="0"/>
        <strike val="0"/>
        <condense val="0"/>
        <extend val="0"/>
        <outline val="0"/>
        <shadow val="0"/>
        <u val="none"/>
        <vertAlign val="baseline"/>
        <sz val="11"/>
        <color auto="1"/>
        <name val="Arial"/>
        <family val="2"/>
        <scheme val="none"/>
      </font>
      <numFmt numFmtId="3" formatCode="#,##0"/>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font>
        <b val="0"/>
        <i val="0"/>
        <strike val="0"/>
        <condense val="0"/>
        <extend val="0"/>
        <outline val="0"/>
        <shadow val="0"/>
        <u val="none"/>
        <vertAlign val="baseline"/>
        <sz val="11"/>
        <color auto="1"/>
        <name val="Arial"/>
        <family val="2"/>
        <scheme val="none"/>
      </font>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ohdaten_claude" displayName="rohdaten_claude" ref="A1:N55" totalsRowShown="0" headerRowDxfId="29" dataDxfId="28">
  <autoFilter ref="A1:N55" xr:uid="{00000000-0009-0000-0100-000001000000}"/>
  <tableColumns count="14">
    <tableColumn id="1" xr3:uid="{00000000-0010-0000-0000-000001000000}" name="profil_id" dataDxfId="43"/>
    <tableColumn id="2" xr3:uid="{00000000-0010-0000-0000-000002000000}" name="variante" dataDxfId="42"/>
    <tableColumn id="3" xr3:uid="{00000000-0010-0000-0000-000003000000}" name="timestamp" dataDxfId="41"/>
    <tableColumn id="4" xr3:uid="{00000000-0010-0000-0000-000004000000}" name="modell" dataDxfId="40"/>
    <tableColumn id="5" xr3:uid="{00000000-0010-0000-0000-000005000000}" name="temperature" dataDxfId="39"/>
    <tableColumn id="6" xr3:uid="{00000000-0010-0000-0000-000006000000}" name="baustein_1_einmalzahlung_eur" dataDxfId="38"/>
    <tableColumn id="7" xr3:uid="{00000000-0010-0000-0000-000007000000}" name="baustein_2_unfallrente_monatlich_eur" dataDxfId="37"/>
    <tableColumn id="8" xr3:uid="{00000000-0010-0000-0000-000008000000}" name="beruecksichtigte_faktoren" dataDxfId="36"/>
    <tableColumn id="9" xr3:uid="{00000000-0010-0000-0000-000009000000}" name="berechnungslogik_baustein_1" dataDxfId="35"/>
    <tableColumn id="10" xr3:uid="{00000000-0010-0000-0000-00000A000000}" name="berechnungslogik_baustein_2" dataDxfId="34"/>
    <tableColumn id="11" xr3:uid="{00000000-0010-0000-0000-00000B000000}" name="getroffene_annahmen" dataDxfId="33"/>
    <tableColumn id="12" xr3:uid="{00000000-0010-0000-0000-00000C000000}" name="raw_response" dataDxfId="32"/>
    <tableColumn id="13" xr3:uid="{00000000-0010-0000-0000-00000D000000}" name="status" dataDxfId="31"/>
    <tableColumn id="14" xr3:uid="{00000000-0010-0000-0000-00000E000000}" name="fehler" dataDxfId="30"/>
  </tableColumns>
  <tableStyleInfo name="TableStyleLight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ohdaten_gemini" displayName="rohdaten_gemini" ref="A1:N55" totalsRowShown="0" headerRowDxfId="45" dataDxfId="44">
  <autoFilter ref="A1:N55" xr:uid="{00000000-0009-0000-0100-000002000000}"/>
  <tableColumns count="14">
    <tableColumn id="1" xr3:uid="{00000000-0010-0000-0100-000001000000}" name="profil_id" dataDxfId="59"/>
    <tableColumn id="2" xr3:uid="{00000000-0010-0000-0100-000002000000}" name="variante" dataDxfId="58"/>
    <tableColumn id="3" xr3:uid="{00000000-0010-0000-0100-000003000000}" name="timestamp" dataDxfId="57"/>
    <tableColumn id="4" xr3:uid="{00000000-0010-0000-0100-000004000000}" name="modell" dataDxfId="56"/>
    <tableColumn id="5" xr3:uid="{00000000-0010-0000-0100-000005000000}" name="temperature" dataDxfId="55"/>
    <tableColumn id="6" xr3:uid="{00000000-0010-0000-0100-000006000000}" name="baustein_1_einmalzahlung_eur" dataDxfId="54"/>
    <tableColumn id="7" xr3:uid="{00000000-0010-0000-0100-000007000000}" name="baustein_2_unfallrente_monatlich_eur" dataDxfId="53"/>
    <tableColumn id="8" xr3:uid="{00000000-0010-0000-0100-000008000000}" name="beruecksichtigte_faktoren" dataDxfId="52"/>
    <tableColumn id="9" xr3:uid="{00000000-0010-0000-0100-000009000000}" name="berechnungslogik_baustein_1" dataDxfId="51"/>
    <tableColumn id="10" xr3:uid="{00000000-0010-0000-0100-00000A000000}" name="berechnungslogik_baustein_2" dataDxfId="50"/>
    <tableColumn id="11" xr3:uid="{00000000-0010-0000-0100-00000B000000}" name="getroffene_annahmen" dataDxfId="49"/>
    <tableColumn id="12" xr3:uid="{00000000-0010-0000-0100-00000C000000}" name="raw_response" dataDxfId="48"/>
    <tableColumn id="13" xr3:uid="{00000000-0010-0000-0100-00000D000000}" name="status" dataDxfId="47"/>
    <tableColumn id="14" xr3:uid="{00000000-0010-0000-0100-00000E000000}" name="fehler" dataDxfId="46"/>
  </tableColumns>
  <tableStyleInfo name="TableStyleLight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ohdaten_gpt" displayName="rohdaten_gpt" ref="A1:N55" totalsRowShown="0" headerRowDxfId="13" dataDxfId="12">
  <autoFilter ref="A1:N55" xr:uid="{00000000-0009-0000-0100-000003000000}"/>
  <tableColumns count="14">
    <tableColumn id="1" xr3:uid="{00000000-0010-0000-0200-000001000000}" name="profil_id" dataDxfId="27"/>
    <tableColumn id="2" xr3:uid="{00000000-0010-0000-0200-000002000000}" name="variante" dataDxfId="26"/>
    <tableColumn id="3" xr3:uid="{00000000-0010-0000-0200-000003000000}" name="timestamp" dataDxfId="25"/>
    <tableColumn id="4" xr3:uid="{00000000-0010-0000-0200-000004000000}" name="modell" dataDxfId="24"/>
    <tableColumn id="5" xr3:uid="{00000000-0010-0000-0200-000005000000}" name="temperature" dataDxfId="23"/>
    <tableColumn id="6" xr3:uid="{00000000-0010-0000-0200-000006000000}" name="baustein_1_einmalzahlung_eur" dataDxfId="22"/>
    <tableColumn id="7" xr3:uid="{00000000-0010-0000-0200-000007000000}" name="baustein_2_unfallrente_monatlich_eur" dataDxfId="21"/>
    <tableColumn id="8" xr3:uid="{00000000-0010-0000-0200-000008000000}" name="beruecksichtigte_faktoren" dataDxfId="20"/>
    <tableColumn id="9" xr3:uid="{00000000-0010-0000-0200-000009000000}" name="berechnungslogik_baustein_1" dataDxfId="19"/>
    <tableColumn id="10" xr3:uid="{00000000-0010-0000-0200-00000A000000}" name="berechnungslogik_baustein_2" dataDxfId="18"/>
    <tableColumn id="11" xr3:uid="{00000000-0010-0000-0200-00000B000000}" name="getroffene_annahmen" dataDxfId="17"/>
    <tableColumn id="12" xr3:uid="{00000000-0010-0000-0200-00000C000000}" name="raw_response" dataDxfId="16"/>
    <tableColumn id="13" xr3:uid="{00000000-0010-0000-0200-00000D000000}" name="status" dataDxfId="15"/>
    <tableColumn id="14" xr3:uid="{00000000-0010-0000-0200-00000E000000}" name="fehler" dataDxfId="14"/>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4A99B2-3712-422B-B12D-E8D876E7A29E}" name="Tabelle4" displayName="Tabelle4" ref="A1:J109" totalsRowShown="0" headerRowDxfId="0" dataDxfId="1">
  <autoFilter ref="A1:J109" xr:uid="{344A99B2-3712-422B-B12D-E8D876E7A29E}"/>
  <tableColumns count="10">
    <tableColumn id="1" xr3:uid="{82236105-5031-401C-A128-5DC90DDAC4F7}" name="Modell" dataDxfId="11"/>
    <tableColumn id="2" xr3:uid="{A6BA5DEC-D0D8-408E-864E-D1D0712419FF}" name="Profil" dataDxfId="10"/>
    <tableColumn id="3" xr3:uid="{13694B8E-B455-473D-8351-B99AA8BF00C5}" name="Baustein" dataDxfId="9"/>
    <tableColumn id="4" xr3:uid="{0DF76C3A-405E-48C2-BD86-7A05AA81F436}" name="V1" dataDxfId="8"/>
    <tableColumn id="5" xr3:uid="{C52A36A2-07C7-49F0-A800-5BDBFCF51CD9}" name="V2" dataDxfId="7"/>
    <tableColumn id="6" xr3:uid="{45CA7AC6-9A8A-4BA1-BA2C-7B8E48D174B4}" name="V3" dataDxfId="6"/>
    <tableColumn id="7" xr3:uid="{8C613482-AF46-45B7-91FB-F6550F8D7F65}" name="Mittelwert" dataDxfId="5">
      <calculatedColumnFormula>AVERAGE(D2:F2)</calculatedColumnFormula>
    </tableColumn>
    <tableColumn id="8" xr3:uid="{90594669-C793-45A1-A600-CA6E815BB41C}" name="Spannweite" dataDxfId="4">
      <calculatedColumnFormula>MAX(D2:F2)-MIN(D2:F2)</calculatedColumnFormula>
    </tableColumn>
    <tableColumn id="9" xr3:uid="{52686DE8-9794-4BF6-B7D5-01C4E3F83E4A}" name="VK" dataDxfId="3">
      <calculatedColumnFormula>IF(G2=0,0,STDEV(D2:F2)/G2)</calculatedColumnFormula>
    </tableColumn>
    <tableColumn id="10" xr3:uid="{40167239-6B2E-4EED-81CF-43EA45F47B9A}" name="VK &gt; 0,05" dataDxfId="2">
      <calculatedColumnFormula>IF(I2&gt;0.05,"JA","nein")</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5"/>
  <sheetViews>
    <sheetView zoomScaleNormal="100" workbookViewId="0">
      <selection activeCell="G2" sqref="G2"/>
    </sheetView>
  </sheetViews>
  <sheetFormatPr baseColWidth="10" defaultColWidth="10.52734375" defaultRowHeight="14.35" x14ac:dyDescent="0.5"/>
  <cols>
    <col min="1" max="1" width="9.87890625" style="6" customWidth="1"/>
    <col min="2" max="2" width="9.703125" style="6" customWidth="1"/>
    <col min="3" max="3" width="14.703125" style="6" customWidth="1"/>
    <col min="4" max="4" width="15.9375" style="6" customWidth="1"/>
    <col min="5" max="5" width="13.41015625" style="6" customWidth="1"/>
    <col min="6" max="6" width="28.76171875" style="6" customWidth="1"/>
    <col min="7" max="7" width="35.29296875" style="6" customWidth="1"/>
    <col min="8" max="12" width="60.703125" style="6" customWidth="1"/>
    <col min="13" max="13" width="8.1171875" style="6" customWidth="1"/>
    <col min="14" max="14" width="8" style="6" customWidth="1"/>
    <col min="15" max="16384" width="10.52734375" style="6"/>
  </cols>
  <sheetData>
    <row r="1" spans="1:14" x14ac:dyDescent="0.5">
      <c r="A1" s="6" t="s">
        <v>0</v>
      </c>
      <c r="B1" s="6" t="s">
        <v>1</v>
      </c>
      <c r="C1" s="6" t="s">
        <v>2</v>
      </c>
      <c r="D1" s="6" t="s">
        <v>3</v>
      </c>
      <c r="E1" s="6" t="s">
        <v>4</v>
      </c>
      <c r="F1" s="6" t="s">
        <v>5</v>
      </c>
      <c r="G1" s="6" t="s">
        <v>6</v>
      </c>
      <c r="H1" s="6" t="s">
        <v>7</v>
      </c>
      <c r="I1" s="6" t="s">
        <v>8</v>
      </c>
      <c r="J1" s="6" t="s">
        <v>9</v>
      </c>
      <c r="K1" s="6" t="s">
        <v>10</v>
      </c>
      <c r="L1" s="6" t="s">
        <v>11</v>
      </c>
      <c r="M1" s="6" t="s">
        <v>12</v>
      </c>
      <c r="N1" s="6" t="s">
        <v>13</v>
      </c>
    </row>
    <row r="2" spans="1:14" x14ac:dyDescent="0.5">
      <c r="A2" s="6" t="s">
        <v>14</v>
      </c>
      <c r="B2" s="6" t="s">
        <v>15</v>
      </c>
      <c r="C2" s="7">
        <v>46159.628414351901</v>
      </c>
      <c r="D2" s="6" t="s">
        <v>16</v>
      </c>
      <c r="E2" s="6">
        <v>0</v>
      </c>
      <c r="F2" s="6">
        <v>54000</v>
      </c>
      <c r="G2" s="6">
        <v>600</v>
      </c>
      <c r="H2" s="6" t="s">
        <v>17</v>
      </c>
      <c r="I2" s="6" t="s">
        <v>18</v>
      </c>
      <c r="J2" s="6" t="s">
        <v>19</v>
      </c>
      <c r="K2" s="6" t="s">
        <v>20</v>
      </c>
      <c r="L2" s="6" t="s">
        <v>21</v>
      </c>
      <c r="M2" s="6" t="s">
        <v>22</v>
      </c>
    </row>
    <row r="3" spans="1:14" x14ac:dyDescent="0.5">
      <c r="A3" s="6" t="s">
        <v>14</v>
      </c>
      <c r="B3" s="6" t="s">
        <v>23</v>
      </c>
      <c r="C3" s="7">
        <v>46159.628802476902</v>
      </c>
      <c r="D3" s="6" t="s">
        <v>16</v>
      </c>
      <c r="E3" s="6">
        <v>0</v>
      </c>
      <c r="F3" s="6">
        <v>50000</v>
      </c>
      <c r="G3" s="6">
        <v>600</v>
      </c>
      <c r="H3" s="6" t="s">
        <v>24</v>
      </c>
      <c r="I3" s="6" t="s">
        <v>25</v>
      </c>
      <c r="J3" s="6" t="s">
        <v>26</v>
      </c>
      <c r="K3" s="6" t="s">
        <v>27</v>
      </c>
      <c r="L3" s="6" t="s">
        <v>28</v>
      </c>
      <c r="M3" s="6" t="s">
        <v>22</v>
      </c>
    </row>
    <row r="4" spans="1:14" x14ac:dyDescent="0.5">
      <c r="A4" s="6" t="s">
        <v>14</v>
      </c>
      <c r="B4" s="6" t="s">
        <v>29</v>
      </c>
      <c r="C4" s="7">
        <v>46159.629060590298</v>
      </c>
      <c r="D4" s="6" t="s">
        <v>16</v>
      </c>
      <c r="E4" s="6">
        <v>0</v>
      </c>
      <c r="F4" s="6">
        <v>50000</v>
      </c>
      <c r="G4" s="6">
        <v>600</v>
      </c>
      <c r="H4" s="6" t="s">
        <v>30</v>
      </c>
      <c r="I4" s="6" t="s">
        <v>31</v>
      </c>
      <c r="J4" s="6" t="s">
        <v>32</v>
      </c>
      <c r="K4" s="6" t="s">
        <v>33</v>
      </c>
      <c r="L4" s="6" t="s">
        <v>34</v>
      </c>
      <c r="M4" s="6" t="s">
        <v>22</v>
      </c>
    </row>
    <row r="5" spans="1:14" x14ac:dyDescent="0.5">
      <c r="A5" s="6" t="s">
        <v>35</v>
      </c>
      <c r="B5" s="6" t="s">
        <v>15</v>
      </c>
      <c r="C5" s="7">
        <v>46159.629287812502</v>
      </c>
      <c r="D5" s="6" t="s">
        <v>16</v>
      </c>
      <c r="E5" s="6">
        <v>0</v>
      </c>
      <c r="F5" s="6">
        <v>80000</v>
      </c>
      <c r="G5" s="6">
        <v>700</v>
      </c>
      <c r="H5" s="6" t="s">
        <v>36</v>
      </c>
      <c r="I5" s="6" t="s">
        <v>37</v>
      </c>
      <c r="J5" s="6" t="s">
        <v>38</v>
      </c>
      <c r="K5" s="6" t="s">
        <v>39</v>
      </c>
      <c r="L5" s="6" t="s">
        <v>40</v>
      </c>
      <c r="M5" s="6" t="s">
        <v>22</v>
      </c>
    </row>
    <row r="6" spans="1:14" x14ac:dyDescent="0.5">
      <c r="A6" s="6" t="s">
        <v>35</v>
      </c>
      <c r="B6" s="6" t="s">
        <v>23</v>
      </c>
      <c r="C6" s="7">
        <v>46159.629538784699</v>
      </c>
      <c r="D6" s="6" t="s">
        <v>16</v>
      </c>
      <c r="E6" s="6">
        <v>0</v>
      </c>
      <c r="F6" s="6">
        <v>80000</v>
      </c>
      <c r="G6" s="6">
        <v>700</v>
      </c>
      <c r="H6" s="6" t="s">
        <v>41</v>
      </c>
      <c r="I6" s="6" t="s">
        <v>42</v>
      </c>
      <c r="J6" s="6" t="s">
        <v>43</v>
      </c>
      <c r="K6" s="6" t="s">
        <v>44</v>
      </c>
      <c r="L6" s="6" t="s">
        <v>45</v>
      </c>
      <c r="M6" s="6" t="s">
        <v>22</v>
      </c>
    </row>
    <row r="7" spans="1:14" x14ac:dyDescent="0.5">
      <c r="A7" s="6" t="s">
        <v>35</v>
      </c>
      <c r="B7" s="6" t="s">
        <v>29</v>
      </c>
      <c r="C7" s="7">
        <v>46159.629889907403</v>
      </c>
      <c r="D7" s="6" t="s">
        <v>16</v>
      </c>
      <c r="E7" s="6">
        <v>0</v>
      </c>
      <c r="F7" s="6">
        <v>80000</v>
      </c>
      <c r="G7" s="6">
        <v>700</v>
      </c>
      <c r="H7" s="6" t="s">
        <v>46</v>
      </c>
      <c r="I7" s="6" t="s">
        <v>47</v>
      </c>
      <c r="J7" s="6" t="s">
        <v>48</v>
      </c>
      <c r="K7" s="6" t="s">
        <v>49</v>
      </c>
      <c r="L7" s="6" t="s">
        <v>50</v>
      </c>
      <c r="M7" s="6" t="s">
        <v>22</v>
      </c>
    </row>
    <row r="8" spans="1:14" x14ac:dyDescent="0.5">
      <c r="A8" s="6" t="s">
        <v>51</v>
      </c>
      <c r="B8" s="6" t="s">
        <v>15</v>
      </c>
      <c r="C8" s="7">
        <v>46159.630131134298</v>
      </c>
      <c r="D8" s="6" t="s">
        <v>16</v>
      </c>
      <c r="E8" s="6">
        <v>0</v>
      </c>
      <c r="F8" s="6">
        <v>80000</v>
      </c>
      <c r="G8" s="6">
        <v>700</v>
      </c>
      <c r="H8" s="6" t="s">
        <v>52</v>
      </c>
      <c r="I8" s="6" t="s">
        <v>53</v>
      </c>
      <c r="J8" s="6" t="s">
        <v>54</v>
      </c>
      <c r="K8" s="6" t="s">
        <v>55</v>
      </c>
      <c r="L8" s="6" t="s">
        <v>56</v>
      </c>
      <c r="M8" s="6" t="s">
        <v>22</v>
      </c>
    </row>
    <row r="9" spans="1:14" x14ac:dyDescent="0.5">
      <c r="A9" s="6" t="s">
        <v>51</v>
      </c>
      <c r="B9" s="6" t="s">
        <v>23</v>
      </c>
      <c r="C9" s="7">
        <v>46159.6303641782</v>
      </c>
      <c r="D9" s="6" t="s">
        <v>16</v>
      </c>
      <c r="E9" s="6">
        <v>0</v>
      </c>
      <c r="F9" s="6">
        <v>50000</v>
      </c>
      <c r="G9" s="6">
        <v>700</v>
      </c>
      <c r="H9" s="6" t="s">
        <v>57</v>
      </c>
      <c r="I9" s="6" t="s">
        <v>58</v>
      </c>
      <c r="J9" s="6" t="s">
        <v>59</v>
      </c>
      <c r="K9" s="6" t="s">
        <v>60</v>
      </c>
      <c r="L9" s="6" t="s">
        <v>61</v>
      </c>
      <c r="M9" s="6" t="s">
        <v>22</v>
      </c>
    </row>
    <row r="10" spans="1:14" x14ac:dyDescent="0.5">
      <c r="A10" s="6" t="s">
        <v>51</v>
      </c>
      <c r="B10" s="6" t="s">
        <v>29</v>
      </c>
      <c r="C10" s="7">
        <v>46159.630650266197</v>
      </c>
      <c r="D10" s="6" t="s">
        <v>16</v>
      </c>
      <c r="E10" s="6">
        <v>0</v>
      </c>
      <c r="F10" s="6">
        <v>80000</v>
      </c>
      <c r="G10" s="6">
        <v>700</v>
      </c>
      <c r="H10" s="6" t="s">
        <v>62</v>
      </c>
      <c r="I10" s="6" t="s">
        <v>63</v>
      </c>
      <c r="J10" s="6" t="s">
        <v>64</v>
      </c>
      <c r="K10" s="6" t="s">
        <v>65</v>
      </c>
      <c r="L10" s="6" t="s">
        <v>66</v>
      </c>
      <c r="M10" s="6" t="s">
        <v>22</v>
      </c>
    </row>
    <row r="11" spans="1:14" x14ac:dyDescent="0.5">
      <c r="A11" s="6" t="s">
        <v>67</v>
      </c>
      <c r="B11" s="6" t="s">
        <v>15</v>
      </c>
      <c r="C11" s="7">
        <v>46159.630861712998</v>
      </c>
      <c r="D11" s="6" t="s">
        <v>16</v>
      </c>
      <c r="E11" s="6">
        <v>0</v>
      </c>
      <c r="F11" s="6">
        <v>80000</v>
      </c>
      <c r="G11" s="6">
        <v>900</v>
      </c>
      <c r="H11" s="6" t="s">
        <v>68</v>
      </c>
      <c r="I11" s="6" t="s">
        <v>69</v>
      </c>
      <c r="J11" s="6" t="s">
        <v>70</v>
      </c>
      <c r="K11" s="6" t="s">
        <v>71</v>
      </c>
      <c r="L11" s="6" t="s">
        <v>72</v>
      </c>
      <c r="M11" s="6" t="s">
        <v>22</v>
      </c>
    </row>
    <row r="12" spans="1:14" x14ac:dyDescent="0.5">
      <c r="A12" s="6" t="s">
        <v>67</v>
      </c>
      <c r="B12" s="6" t="s">
        <v>23</v>
      </c>
      <c r="C12" s="7">
        <v>46159.631117013902</v>
      </c>
      <c r="D12" s="6" t="s">
        <v>16</v>
      </c>
      <c r="E12" s="6">
        <v>0</v>
      </c>
      <c r="F12" s="6">
        <v>80000</v>
      </c>
      <c r="G12" s="6">
        <v>900</v>
      </c>
      <c r="H12" s="6" t="s">
        <v>73</v>
      </c>
      <c r="I12" s="6" t="s">
        <v>74</v>
      </c>
      <c r="J12" s="6" t="s">
        <v>75</v>
      </c>
      <c r="K12" s="6" t="s">
        <v>76</v>
      </c>
      <c r="L12" s="6" t="s">
        <v>77</v>
      </c>
      <c r="M12" s="6" t="s">
        <v>22</v>
      </c>
    </row>
    <row r="13" spans="1:14" x14ac:dyDescent="0.5">
      <c r="A13" s="6" t="s">
        <v>67</v>
      </c>
      <c r="B13" s="6" t="s">
        <v>29</v>
      </c>
      <c r="C13" s="7">
        <v>46159.631403518499</v>
      </c>
      <c r="D13" s="6" t="s">
        <v>16</v>
      </c>
      <c r="E13" s="6">
        <v>0</v>
      </c>
      <c r="F13" s="6">
        <v>80000</v>
      </c>
      <c r="G13" s="6">
        <v>900</v>
      </c>
      <c r="H13" s="6" t="s">
        <v>78</v>
      </c>
      <c r="I13" s="6" t="s">
        <v>79</v>
      </c>
      <c r="J13" s="6" t="s">
        <v>80</v>
      </c>
      <c r="K13" s="6" t="s">
        <v>81</v>
      </c>
      <c r="L13" s="6" t="s">
        <v>82</v>
      </c>
      <c r="M13" s="6" t="s">
        <v>22</v>
      </c>
    </row>
    <row r="14" spans="1:14" x14ac:dyDescent="0.5">
      <c r="A14" s="6" t="s">
        <v>83</v>
      </c>
      <c r="B14" s="6" t="s">
        <v>15</v>
      </c>
      <c r="C14" s="7">
        <v>46159.631664317101</v>
      </c>
      <c r="D14" s="6" t="s">
        <v>16</v>
      </c>
      <c r="E14" s="6">
        <v>0</v>
      </c>
      <c r="F14" s="6">
        <v>80000</v>
      </c>
      <c r="G14" s="6">
        <v>900</v>
      </c>
      <c r="H14" s="6" t="s">
        <v>84</v>
      </c>
      <c r="I14" s="6" t="s">
        <v>85</v>
      </c>
      <c r="J14" s="6" t="s">
        <v>86</v>
      </c>
      <c r="K14" s="6" t="s">
        <v>87</v>
      </c>
      <c r="L14" s="6" t="s">
        <v>88</v>
      </c>
      <c r="M14" s="6" t="s">
        <v>22</v>
      </c>
    </row>
    <row r="15" spans="1:14" x14ac:dyDescent="0.5">
      <c r="A15" s="6" t="s">
        <v>83</v>
      </c>
      <c r="B15" s="6" t="s">
        <v>23</v>
      </c>
      <c r="C15" s="7">
        <v>46159.631955092598</v>
      </c>
      <c r="D15" s="6" t="s">
        <v>16</v>
      </c>
      <c r="E15" s="6">
        <v>0</v>
      </c>
      <c r="F15" s="6">
        <v>80000</v>
      </c>
      <c r="G15" s="6">
        <v>700</v>
      </c>
      <c r="H15" s="6" t="s">
        <v>89</v>
      </c>
      <c r="I15" s="6" t="s">
        <v>90</v>
      </c>
      <c r="J15" s="6" t="s">
        <v>91</v>
      </c>
      <c r="K15" s="6" t="s">
        <v>92</v>
      </c>
      <c r="L15" s="6" t="s">
        <v>93</v>
      </c>
      <c r="M15" s="6" t="s">
        <v>22</v>
      </c>
    </row>
    <row r="16" spans="1:14" x14ac:dyDescent="0.5">
      <c r="A16" s="6" t="s">
        <v>83</v>
      </c>
      <c r="B16" s="6" t="s">
        <v>29</v>
      </c>
      <c r="C16" s="7">
        <v>46159.632242928201</v>
      </c>
      <c r="D16" s="6" t="s">
        <v>16</v>
      </c>
      <c r="E16" s="6">
        <v>0</v>
      </c>
      <c r="F16" s="6">
        <v>80000</v>
      </c>
      <c r="G16" s="6">
        <v>700</v>
      </c>
      <c r="H16" s="6" t="s">
        <v>94</v>
      </c>
      <c r="I16" s="6" t="s">
        <v>95</v>
      </c>
      <c r="J16" s="6" t="s">
        <v>96</v>
      </c>
      <c r="K16" s="6" t="s">
        <v>97</v>
      </c>
      <c r="L16" s="6" t="s">
        <v>98</v>
      </c>
      <c r="M16" s="6" t="s">
        <v>22</v>
      </c>
    </row>
    <row r="17" spans="1:13" x14ac:dyDescent="0.5">
      <c r="A17" s="6" t="s">
        <v>99</v>
      </c>
      <c r="B17" s="6" t="s">
        <v>15</v>
      </c>
      <c r="C17" s="7">
        <v>46159.632493425903</v>
      </c>
      <c r="D17" s="6" t="s">
        <v>16</v>
      </c>
      <c r="E17" s="6">
        <v>0</v>
      </c>
      <c r="F17" s="6">
        <v>80000</v>
      </c>
      <c r="G17" s="6">
        <v>900</v>
      </c>
      <c r="H17" s="6" t="s">
        <v>100</v>
      </c>
      <c r="I17" s="6" t="s">
        <v>101</v>
      </c>
      <c r="J17" s="6" t="s">
        <v>102</v>
      </c>
      <c r="K17" s="6" t="s">
        <v>103</v>
      </c>
      <c r="L17" s="6" t="s">
        <v>104</v>
      </c>
      <c r="M17" s="6" t="s">
        <v>22</v>
      </c>
    </row>
    <row r="18" spans="1:13" x14ac:dyDescent="0.5">
      <c r="A18" s="6" t="s">
        <v>99</v>
      </c>
      <c r="B18" s="6" t="s">
        <v>23</v>
      </c>
      <c r="C18" s="7">
        <v>46159.632866099499</v>
      </c>
      <c r="D18" s="6" t="s">
        <v>16</v>
      </c>
      <c r="E18" s="6">
        <v>0</v>
      </c>
      <c r="F18" s="6">
        <v>80000</v>
      </c>
      <c r="G18" s="6">
        <v>700</v>
      </c>
      <c r="H18" s="6" t="s">
        <v>105</v>
      </c>
      <c r="I18" s="6" t="s">
        <v>106</v>
      </c>
      <c r="J18" s="6" t="s">
        <v>107</v>
      </c>
      <c r="K18" s="6" t="s">
        <v>108</v>
      </c>
      <c r="L18" s="6" t="s">
        <v>109</v>
      </c>
      <c r="M18" s="6" t="s">
        <v>22</v>
      </c>
    </row>
    <row r="19" spans="1:13" x14ac:dyDescent="0.5">
      <c r="A19" s="6" t="s">
        <v>99</v>
      </c>
      <c r="B19" s="6" t="s">
        <v>29</v>
      </c>
      <c r="C19" s="7">
        <v>46159.633160196798</v>
      </c>
      <c r="D19" s="6" t="s">
        <v>16</v>
      </c>
      <c r="E19" s="6">
        <v>0</v>
      </c>
      <c r="F19" s="6">
        <v>80000</v>
      </c>
      <c r="G19" s="6">
        <v>900</v>
      </c>
      <c r="H19" s="6" t="s">
        <v>110</v>
      </c>
      <c r="I19" s="6" t="s">
        <v>111</v>
      </c>
      <c r="J19" s="6" t="s">
        <v>112</v>
      </c>
      <c r="K19" s="6" t="s">
        <v>113</v>
      </c>
      <c r="L19" s="6" t="s">
        <v>114</v>
      </c>
      <c r="M19" s="6" t="s">
        <v>22</v>
      </c>
    </row>
    <row r="20" spans="1:13" x14ac:dyDescent="0.5">
      <c r="A20" s="6" t="s">
        <v>115</v>
      </c>
      <c r="B20" s="6" t="s">
        <v>15</v>
      </c>
      <c r="C20" s="7">
        <v>46159.633399213002</v>
      </c>
      <c r="D20" s="6" t="s">
        <v>16</v>
      </c>
      <c r="E20" s="6">
        <v>0</v>
      </c>
      <c r="F20" s="6">
        <v>80000</v>
      </c>
      <c r="G20" s="6">
        <v>1200</v>
      </c>
      <c r="H20" s="6" t="s">
        <v>116</v>
      </c>
      <c r="I20" s="6" t="s">
        <v>117</v>
      </c>
      <c r="J20" s="6" t="s">
        <v>118</v>
      </c>
      <c r="K20" s="6" t="s">
        <v>119</v>
      </c>
      <c r="L20" s="6" t="s">
        <v>120</v>
      </c>
      <c r="M20" s="6" t="s">
        <v>22</v>
      </c>
    </row>
    <row r="21" spans="1:13" x14ac:dyDescent="0.5">
      <c r="A21" s="6" t="s">
        <v>115</v>
      </c>
      <c r="B21" s="6" t="s">
        <v>23</v>
      </c>
      <c r="C21" s="7">
        <v>46159.633720763901</v>
      </c>
      <c r="D21" s="6" t="s">
        <v>16</v>
      </c>
      <c r="E21" s="6">
        <v>0</v>
      </c>
      <c r="F21" s="6">
        <v>80000</v>
      </c>
      <c r="G21" s="6">
        <v>1200</v>
      </c>
      <c r="H21" s="6" t="s">
        <v>121</v>
      </c>
      <c r="I21" s="6" t="s">
        <v>122</v>
      </c>
      <c r="J21" s="6" t="s">
        <v>123</v>
      </c>
      <c r="K21" s="6" t="s">
        <v>124</v>
      </c>
      <c r="L21" s="6" t="s">
        <v>125</v>
      </c>
      <c r="M21" s="6" t="s">
        <v>22</v>
      </c>
    </row>
    <row r="22" spans="1:13" x14ac:dyDescent="0.5">
      <c r="A22" s="6" t="s">
        <v>115</v>
      </c>
      <c r="B22" s="6" t="s">
        <v>29</v>
      </c>
      <c r="C22" s="7">
        <v>46159.633986527799</v>
      </c>
      <c r="D22" s="6" t="s">
        <v>16</v>
      </c>
      <c r="E22" s="6">
        <v>0</v>
      </c>
      <c r="F22" s="6">
        <v>80000</v>
      </c>
      <c r="G22" s="6">
        <v>1200</v>
      </c>
      <c r="H22" s="6" t="s">
        <v>126</v>
      </c>
      <c r="I22" s="6" t="s">
        <v>127</v>
      </c>
      <c r="J22" s="6" t="s">
        <v>128</v>
      </c>
      <c r="K22" s="6" t="s">
        <v>129</v>
      </c>
      <c r="L22" s="6" t="s">
        <v>130</v>
      </c>
      <c r="M22" s="6" t="s">
        <v>22</v>
      </c>
    </row>
    <row r="23" spans="1:13" x14ac:dyDescent="0.5">
      <c r="A23" s="6" t="s">
        <v>131</v>
      </c>
      <c r="B23" s="6" t="s">
        <v>15</v>
      </c>
      <c r="C23" s="7">
        <v>46159.634184907402</v>
      </c>
      <c r="D23" s="6" t="s">
        <v>16</v>
      </c>
      <c r="E23" s="6">
        <v>0</v>
      </c>
      <c r="F23" s="6">
        <v>80000</v>
      </c>
      <c r="G23" s="6">
        <v>1200</v>
      </c>
      <c r="H23" s="6" t="s">
        <v>132</v>
      </c>
      <c r="I23" s="6" t="s">
        <v>133</v>
      </c>
      <c r="J23" s="6" t="s">
        <v>134</v>
      </c>
      <c r="K23" s="6" t="s">
        <v>135</v>
      </c>
      <c r="L23" s="6" t="s">
        <v>136</v>
      </c>
      <c r="M23" s="6" t="s">
        <v>22</v>
      </c>
    </row>
    <row r="24" spans="1:13" x14ac:dyDescent="0.5">
      <c r="A24" s="6" t="s">
        <v>131</v>
      </c>
      <c r="B24" s="6" t="s">
        <v>23</v>
      </c>
      <c r="C24" s="7">
        <v>46159.634432986102</v>
      </c>
      <c r="D24" s="6" t="s">
        <v>16</v>
      </c>
      <c r="E24" s="6">
        <v>0</v>
      </c>
      <c r="F24" s="6">
        <v>80000</v>
      </c>
      <c r="G24" s="6">
        <v>1200</v>
      </c>
      <c r="H24" s="6" t="s">
        <v>137</v>
      </c>
      <c r="I24" s="6" t="s">
        <v>138</v>
      </c>
      <c r="J24" s="6" t="s">
        <v>139</v>
      </c>
      <c r="K24" s="6" t="s">
        <v>140</v>
      </c>
      <c r="L24" s="6" t="s">
        <v>141</v>
      </c>
      <c r="M24" s="6" t="s">
        <v>22</v>
      </c>
    </row>
    <row r="25" spans="1:13" x14ac:dyDescent="0.5">
      <c r="A25" s="6" t="s">
        <v>131</v>
      </c>
      <c r="B25" s="6" t="s">
        <v>29</v>
      </c>
      <c r="C25" s="7">
        <v>46159.634762534697</v>
      </c>
      <c r="D25" s="6" t="s">
        <v>16</v>
      </c>
      <c r="E25" s="6">
        <v>0</v>
      </c>
      <c r="F25" s="6">
        <v>80000</v>
      </c>
      <c r="G25" s="6">
        <v>1200</v>
      </c>
      <c r="H25" s="6" t="s">
        <v>142</v>
      </c>
      <c r="I25" s="6" t="s">
        <v>143</v>
      </c>
      <c r="J25" s="6" t="s">
        <v>144</v>
      </c>
      <c r="K25" s="6" t="s">
        <v>145</v>
      </c>
      <c r="L25" s="6" t="s">
        <v>146</v>
      </c>
      <c r="M25" s="6" t="s">
        <v>22</v>
      </c>
    </row>
    <row r="26" spans="1:13" x14ac:dyDescent="0.5">
      <c r="A26" s="6" t="s">
        <v>147</v>
      </c>
      <c r="B26" s="6" t="s">
        <v>15</v>
      </c>
      <c r="C26" s="7">
        <v>46159.635012430597</v>
      </c>
      <c r="D26" s="6" t="s">
        <v>16</v>
      </c>
      <c r="E26" s="6">
        <v>0</v>
      </c>
      <c r="F26" s="6">
        <v>80000</v>
      </c>
      <c r="G26" s="6">
        <v>1200</v>
      </c>
      <c r="H26" s="6" t="s">
        <v>148</v>
      </c>
      <c r="I26" s="6" t="s">
        <v>149</v>
      </c>
      <c r="J26" s="6" t="s">
        <v>150</v>
      </c>
      <c r="K26" s="6" t="s">
        <v>151</v>
      </c>
      <c r="L26" s="6" t="s">
        <v>152</v>
      </c>
      <c r="M26" s="6" t="s">
        <v>22</v>
      </c>
    </row>
    <row r="27" spans="1:13" x14ac:dyDescent="0.5">
      <c r="A27" s="6" t="s">
        <v>147</v>
      </c>
      <c r="B27" s="6" t="s">
        <v>23</v>
      </c>
      <c r="C27" s="7">
        <v>46159.635267418998</v>
      </c>
      <c r="D27" s="6" t="s">
        <v>16</v>
      </c>
      <c r="E27" s="6">
        <v>0</v>
      </c>
      <c r="F27" s="6">
        <v>80000</v>
      </c>
      <c r="G27" s="6">
        <v>1500</v>
      </c>
      <c r="H27" s="6" t="s">
        <v>153</v>
      </c>
      <c r="I27" s="6" t="s">
        <v>154</v>
      </c>
      <c r="J27" s="6" t="s">
        <v>155</v>
      </c>
      <c r="K27" s="6" t="s">
        <v>156</v>
      </c>
      <c r="L27" s="6" t="s">
        <v>157</v>
      </c>
      <c r="M27" s="6" t="s">
        <v>22</v>
      </c>
    </row>
    <row r="28" spans="1:13" x14ac:dyDescent="0.5">
      <c r="A28" s="6" t="s">
        <v>147</v>
      </c>
      <c r="B28" s="6" t="s">
        <v>29</v>
      </c>
      <c r="C28" s="7">
        <v>46159.635569305603</v>
      </c>
      <c r="D28" s="6" t="s">
        <v>16</v>
      </c>
      <c r="E28" s="6">
        <v>0</v>
      </c>
      <c r="F28" s="6">
        <v>80000</v>
      </c>
      <c r="G28" s="6">
        <v>1200</v>
      </c>
      <c r="H28" s="6" t="s">
        <v>158</v>
      </c>
      <c r="I28" s="6" t="s">
        <v>159</v>
      </c>
      <c r="J28" s="6" t="s">
        <v>160</v>
      </c>
      <c r="K28" s="6" t="s">
        <v>161</v>
      </c>
      <c r="L28" s="6" t="s">
        <v>162</v>
      </c>
      <c r="M28" s="6" t="s">
        <v>22</v>
      </c>
    </row>
    <row r="29" spans="1:13" x14ac:dyDescent="0.5">
      <c r="A29" s="6" t="s">
        <v>163</v>
      </c>
      <c r="B29" s="6" t="s">
        <v>15</v>
      </c>
      <c r="C29" s="7">
        <v>46159.635831238404</v>
      </c>
      <c r="D29" s="6" t="s">
        <v>16</v>
      </c>
      <c r="E29" s="6">
        <v>0</v>
      </c>
      <c r="F29" s="6">
        <v>80000</v>
      </c>
      <c r="G29" s="6">
        <v>1500</v>
      </c>
      <c r="H29" s="6" t="s">
        <v>164</v>
      </c>
      <c r="I29" s="6" t="s">
        <v>165</v>
      </c>
      <c r="J29" s="6" t="s">
        <v>166</v>
      </c>
      <c r="K29" s="6" t="s">
        <v>167</v>
      </c>
      <c r="L29" s="6" t="s">
        <v>168</v>
      </c>
      <c r="M29" s="6" t="s">
        <v>22</v>
      </c>
    </row>
    <row r="30" spans="1:13" x14ac:dyDescent="0.5">
      <c r="A30" s="6" t="s">
        <v>163</v>
      </c>
      <c r="B30" s="6" t="s">
        <v>23</v>
      </c>
      <c r="C30" s="7">
        <v>46159.636141284704</v>
      </c>
      <c r="D30" s="6" t="s">
        <v>16</v>
      </c>
      <c r="E30" s="6">
        <v>0</v>
      </c>
      <c r="F30" s="6">
        <v>80000</v>
      </c>
      <c r="G30" s="6">
        <v>1500</v>
      </c>
      <c r="H30" s="6" t="s">
        <v>169</v>
      </c>
      <c r="I30" s="6" t="s">
        <v>170</v>
      </c>
      <c r="J30" s="6" t="s">
        <v>171</v>
      </c>
      <c r="K30" s="6" t="s">
        <v>172</v>
      </c>
      <c r="L30" s="6" t="s">
        <v>173</v>
      </c>
      <c r="M30" s="6" t="s">
        <v>22</v>
      </c>
    </row>
    <row r="31" spans="1:13" x14ac:dyDescent="0.5">
      <c r="A31" s="6" t="s">
        <v>163</v>
      </c>
      <c r="B31" s="6" t="s">
        <v>29</v>
      </c>
      <c r="C31" s="7">
        <v>46159.636408310202</v>
      </c>
      <c r="D31" s="6" t="s">
        <v>16</v>
      </c>
      <c r="E31" s="6">
        <v>0</v>
      </c>
      <c r="F31" s="6">
        <v>80000</v>
      </c>
      <c r="G31" s="6">
        <v>1400</v>
      </c>
      <c r="H31" s="6" t="s">
        <v>174</v>
      </c>
      <c r="I31" s="6" t="s">
        <v>175</v>
      </c>
      <c r="J31" s="6" t="s">
        <v>176</v>
      </c>
      <c r="K31" s="6" t="s">
        <v>177</v>
      </c>
      <c r="L31" s="6" t="s">
        <v>178</v>
      </c>
      <c r="M31" s="6" t="s">
        <v>22</v>
      </c>
    </row>
    <row r="32" spans="1:13" x14ac:dyDescent="0.5">
      <c r="A32" s="6" t="s">
        <v>179</v>
      </c>
      <c r="B32" s="6" t="s">
        <v>15</v>
      </c>
      <c r="C32" s="7">
        <v>46159.636723750002</v>
      </c>
      <c r="D32" s="6" t="s">
        <v>16</v>
      </c>
      <c r="E32" s="6">
        <v>0</v>
      </c>
      <c r="F32" s="6">
        <v>80000</v>
      </c>
      <c r="G32" s="6">
        <v>1500</v>
      </c>
      <c r="H32" s="6" t="s">
        <v>180</v>
      </c>
      <c r="I32" s="6" t="s">
        <v>181</v>
      </c>
      <c r="J32" s="6" t="s">
        <v>182</v>
      </c>
      <c r="K32" s="6" t="s">
        <v>183</v>
      </c>
      <c r="L32" s="6" t="s">
        <v>184</v>
      </c>
      <c r="M32" s="6" t="s">
        <v>22</v>
      </c>
    </row>
    <row r="33" spans="1:13" x14ac:dyDescent="0.5">
      <c r="A33" s="6" t="s">
        <v>179</v>
      </c>
      <c r="B33" s="6" t="s">
        <v>23</v>
      </c>
      <c r="C33" s="7">
        <v>46159.6370103472</v>
      </c>
      <c r="D33" s="6" t="s">
        <v>16</v>
      </c>
      <c r="E33" s="6">
        <v>0</v>
      </c>
      <c r="F33" s="6">
        <v>80000</v>
      </c>
      <c r="G33" s="6">
        <v>1500</v>
      </c>
      <c r="H33" s="6" t="s">
        <v>185</v>
      </c>
      <c r="I33" s="6" t="s">
        <v>186</v>
      </c>
      <c r="J33" s="6" t="s">
        <v>187</v>
      </c>
      <c r="K33" s="6" t="s">
        <v>188</v>
      </c>
      <c r="L33" s="6" t="s">
        <v>189</v>
      </c>
      <c r="M33" s="6" t="s">
        <v>22</v>
      </c>
    </row>
    <row r="34" spans="1:13" x14ac:dyDescent="0.5">
      <c r="A34" s="6" t="s">
        <v>179</v>
      </c>
      <c r="B34" s="6" t="s">
        <v>29</v>
      </c>
      <c r="C34" s="7">
        <v>46159.637292789397</v>
      </c>
      <c r="D34" s="6" t="s">
        <v>16</v>
      </c>
      <c r="E34" s="6">
        <v>0</v>
      </c>
      <c r="F34" s="6">
        <v>80000</v>
      </c>
      <c r="G34" s="6">
        <v>1200</v>
      </c>
      <c r="H34" s="6" t="s">
        <v>190</v>
      </c>
      <c r="I34" s="6" t="s">
        <v>191</v>
      </c>
      <c r="J34" s="6" t="s">
        <v>192</v>
      </c>
      <c r="K34" s="6" t="s">
        <v>193</v>
      </c>
      <c r="L34" s="6" t="s">
        <v>194</v>
      </c>
      <c r="M34" s="6" t="s">
        <v>22</v>
      </c>
    </row>
    <row r="35" spans="1:13" x14ac:dyDescent="0.5">
      <c r="A35" s="6" t="s">
        <v>195</v>
      </c>
      <c r="B35" s="6" t="s">
        <v>15</v>
      </c>
      <c r="C35" s="7">
        <v>46159.637572314801</v>
      </c>
      <c r="D35" s="6" t="s">
        <v>16</v>
      </c>
      <c r="E35" s="6">
        <v>0</v>
      </c>
      <c r="F35" s="6">
        <v>80000</v>
      </c>
      <c r="G35" s="6">
        <v>1500</v>
      </c>
      <c r="H35" s="6" t="s">
        <v>196</v>
      </c>
      <c r="I35" s="6" t="s">
        <v>197</v>
      </c>
      <c r="J35" s="6" t="s">
        <v>198</v>
      </c>
      <c r="K35" s="6" t="s">
        <v>199</v>
      </c>
      <c r="L35" s="6" t="s">
        <v>200</v>
      </c>
      <c r="M35" s="6" t="s">
        <v>22</v>
      </c>
    </row>
    <row r="36" spans="1:13" x14ac:dyDescent="0.5">
      <c r="A36" s="6" t="s">
        <v>195</v>
      </c>
      <c r="B36" s="6" t="s">
        <v>23</v>
      </c>
      <c r="C36" s="7">
        <v>46159.637825081001</v>
      </c>
      <c r="D36" s="6" t="s">
        <v>16</v>
      </c>
      <c r="E36" s="6">
        <v>0</v>
      </c>
      <c r="F36" s="6">
        <v>80000</v>
      </c>
      <c r="G36" s="6">
        <v>1500</v>
      </c>
      <c r="H36" s="6" t="s">
        <v>201</v>
      </c>
      <c r="I36" s="6" t="s">
        <v>202</v>
      </c>
      <c r="J36" s="6" t="s">
        <v>203</v>
      </c>
      <c r="K36" s="6" t="s">
        <v>204</v>
      </c>
      <c r="L36" s="6" t="s">
        <v>205</v>
      </c>
      <c r="M36" s="6" t="s">
        <v>22</v>
      </c>
    </row>
    <row r="37" spans="1:13" x14ac:dyDescent="0.5">
      <c r="A37" s="6" t="s">
        <v>195</v>
      </c>
      <c r="B37" s="6" t="s">
        <v>29</v>
      </c>
      <c r="C37" s="7">
        <v>46159.638082233803</v>
      </c>
      <c r="D37" s="6" t="s">
        <v>16</v>
      </c>
      <c r="E37" s="6">
        <v>0</v>
      </c>
      <c r="F37" s="6">
        <v>120000</v>
      </c>
      <c r="G37" s="6">
        <v>1800</v>
      </c>
      <c r="H37" s="6" t="s">
        <v>206</v>
      </c>
      <c r="I37" s="6" t="s">
        <v>207</v>
      </c>
      <c r="J37" s="6" t="s">
        <v>208</v>
      </c>
      <c r="K37" s="6" t="s">
        <v>209</v>
      </c>
      <c r="L37" s="6" t="s">
        <v>210</v>
      </c>
      <c r="M37" s="6" t="s">
        <v>22</v>
      </c>
    </row>
    <row r="38" spans="1:13" x14ac:dyDescent="0.5">
      <c r="A38" s="6" t="s">
        <v>211</v>
      </c>
      <c r="B38" s="6" t="s">
        <v>15</v>
      </c>
      <c r="C38" s="7">
        <v>46159.638342824102</v>
      </c>
      <c r="D38" s="6" t="s">
        <v>16</v>
      </c>
      <c r="E38" s="6">
        <v>0</v>
      </c>
      <c r="F38" s="6">
        <v>150000</v>
      </c>
      <c r="G38" s="6">
        <v>2750</v>
      </c>
      <c r="H38" s="6" t="s">
        <v>212</v>
      </c>
      <c r="I38" s="6" t="s">
        <v>213</v>
      </c>
      <c r="J38" s="6" t="s">
        <v>214</v>
      </c>
      <c r="K38" s="6" t="s">
        <v>215</v>
      </c>
      <c r="L38" s="6" t="s">
        <v>216</v>
      </c>
      <c r="M38" s="6" t="s">
        <v>22</v>
      </c>
    </row>
    <row r="39" spans="1:13" x14ac:dyDescent="0.5">
      <c r="A39" s="6" t="s">
        <v>211</v>
      </c>
      <c r="B39" s="6" t="s">
        <v>23</v>
      </c>
      <c r="C39" s="7">
        <v>46159.638630347203</v>
      </c>
      <c r="D39" s="6" t="s">
        <v>16</v>
      </c>
      <c r="E39" s="6">
        <v>0</v>
      </c>
      <c r="F39" s="6">
        <v>150000</v>
      </c>
      <c r="G39" s="6">
        <v>3200</v>
      </c>
      <c r="H39" s="6" t="s">
        <v>217</v>
      </c>
      <c r="I39" s="6" t="s">
        <v>218</v>
      </c>
      <c r="J39" s="6" t="s">
        <v>219</v>
      </c>
      <c r="K39" s="6" t="s">
        <v>220</v>
      </c>
      <c r="L39" s="6" t="s">
        <v>221</v>
      </c>
      <c r="M39" s="6" t="s">
        <v>22</v>
      </c>
    </row>
    <row r="40" spans="1:13" x14ac:dyDescent="0.5">
      <c r="A40" s="6" t="s">
        <v>211</v>
      </c>
      <c r="B40" s="6" t="s">
        <v>29</v>
      </c>
      <c r="C40" s="7">
        <v>46159.638960937496</v>
      </c>
      <c r="D40" s="6" t="s">
        <v>16</v>
      </c>
      <c r="E40" s="6">
        <v>0</v>
      </c>
      <c r="F40" s="6">
        <v>120000</v>
      </c>
      <c r="G40" s="6">
        <v>2750</v>
      </c>
      <c r="H40" s="6" t="s">
        <v>222</v>
      </c>
      <c r="I40" s="6" t="s">
        <v>223</v>
      </c>
      <c r="J40" s="6" t="s">
        <v>224</v>
      </c>
      <c r="K40" s="6" t="s">
        <v>225</v>
      </c>
      <c r="L40" s="6" t="s">
        <v>226</v>
      </c>
      <c r="M40" s="6" t="s">
        <v>22</v>
      </c>
    </row>
    <row r="41" spans="1:13" x14ac:dyDescent="0.5">
      <c r="A41" s="6" t="s">
        <v>227</v>
      </c>
      <c r="B41" s="6" t="s">
        <v>15</v>
      </c>
      <c r="C41" s="7">
        <v>46159.6392399537</v>
      </c>
      <c r="D41" s="6" t="s">
        <v>16</v>
      </c>
      <c r="E41" s="6">
        <v>0</v>
      </c>
      <c r="F41" s="6">
        <v>120000</v>
      </c>
      <c r="G41" s="6">
        <v>3200</v>
      </c>
      <c r="H41" s="6" t="s">
        <v>228</v>
      </c>
      <c r="I41" s="6" t="s">
        <v>229</v>
      </c>
      <c r="J41" s="6" t="s">
        <v>230</v>
      </c>
      <c r="K41" s="6" t="s">
        <v>231</v>
      </c>
      <c r="L41" s="6" t="s">
        <v>232</v>
      </c>
      <c r="M41" s="6" t="s">
        <v>22</v>
      </c>
    </row>
    <row r="42" spans="1:13" x14ac:dyDescent="0.5">
      <c r="A42" s="6" t="s">
        <v>227</v>
      </c>
      <c r="B42" s="6" t="s">
        <v>23</v>
      </c>
      <c r="C42" s="7">
        <v>46159.639542071804</v>
      </c>
      <c r="D42" s="6" t="s">
        <v>16</v>
      </c>
      <c r="E42" s="6">
        <v>0</v>
      </c>
      <c r="F42" s="6">
        <v>150000</v>
      </c>
      <c r="G42" s="6">
        <v>2800</v>
      </c>
      <c r="H42" s="6" t="s">
        <v>233</v>
      </c>
      <c r="I42" s="6" t="s">
        <v>234</v>
      </c>
      <c r="J42" s="6" t="s">
        <v>235</v>
      </c>
      <c r="K42" s="6" t="s">
        <v>236</v>
      </c>
      <c r="L42" s="6" t="s">
        <v>237</v>
      </c>
      <c r="M42" s="6" t="s">
        <v>22</v>
      </c>
    </row>
    <row r="43" spans="1:13" x14ac:dyDescent="0.5">
      <c r="A43" s="6" t="s">
        <v>227</v>
      </c>
      <c r="B43" s="6" t="s">
        <v>29</v>
      </c>
      <c r="C43" s="7">
        <v>46159.639849930601</v>
      </c>
      <c r="D43" s="6" t="s">
        <v>16</v>
      </c>
      <c r="E43" s="6">
        <v>0</v>
      </c>
      <c r="F43" s="6">
        <v>120000</v>
      </c>
      <c r="G43" s="6">
        <v>3200</v>
      </c>
      <c r="H43" s="6" t="s">
        <v>238</v>
      </c>
      <c r="I43" s="6" t="s">
        <v>239</v>
      </c>
      <c r="J43" s="6" t="s">
        <v>240</v>
      </c>
      <c r="K43" s="6" t="s">
        <v>241</v>
      </c>
      <c r="L43" s="6" t="s">
        <v>242</v>
      </c>
      <c r="M43" s="6" t="s">
        <v>22</v>
      </c>
    </row>
    <row r="44" spans="1:13" x14ac:dyDescent="0.5">
      <c r="A44" s="6" t="s">
        <v>243</v>
      </c>
      <c r="B44" s="6" t="s">
        <v>15</v>
      </c>
      <c r="C44" s="7">
        <v>46159.640216574102</v>
      </c>
      <c r="D44" s="6" t="s">
        <v>16</v>
      </c>
      <c r="E44" s="6">
        <v>0</v>
      </c>
      <c r="F44" s="6">
        <v>150000</v>
      </c>
      <c r="G44" s="6">
        <v>2800</v>
      </c>
      <c r="H44" s="6" t="s">
        <v>244</v>
      </c>
      <c r="I44" s="6" t="s">
        <v>245</v>
      </c>
      <c r="J44" s="6" t="s">
        <v>246</v>
      </c>
      <c r="K44" s="6" t="s">
        <v>247</v>
      </c>
      <c r="L44" s="6" t="s">
        <v>248</v>
      </c>
      <c r="M44" s="6" t="s">
        <v>22</v>
      </c>
    </row>
    <row r="45" spans="1:13" x14ac:dyDescent="0.5">
      <c r="A45" s="6" t="s">
        <v>243</v>
      </c>
      <c r="B45" s="6" t="s">
        <v>23</v>
      </c>
      <c r="C45" s="7">
        <v>46159.640610682902</v>
      </c>
      <c r="D45" s="6" t="s">
        <v>16</v>
      </c>
      <c r="E45" s="6">
        <v>0</v>
      </c>
      <c r="F45" s="6">
        <v>120000</v>
      </c>
      <c r="G45" s="6">
        <v>3200</v>
      </c>
      <c r="H45" s="6" t="s">
        <v>249</v>
      </c>
      <c r="I45" s="6" t="s">
        <v>250</v>
      </c>
      <c r="J45" s="6" t="s">
        <v>251</v>
      </c>
      <c r="K45" s="6" t="s">
        <v>252</v>
      </c>
      <c r="L45" s="6" t="s">
        <v>253</v>
      </c>
      <c r="M45" s="6" t="s">
        <v>22</v>
      </c>
    </row>
    <row r="46" spans="1:13" x14ac:dyDescent="0.5">
      <c r="A46" s="6" t="s">
        <v>243</v>
      </c>
      <c r="B46" s="6" t="s">
        <v>29</v>
      </c>
      <c r="C46" s="7">
        <v>46159.640908148198</v>
      </c>
      <c r="D46" s="6" t="s">
        <v>16</v>
      </c>
      <c r="E46" s="6">
        <v>0</v>
      </c>
      <c r="F46" s="6">
        <v>120000</v>
      </c>
      <c r="G46" s="6">
        <v>2800</v>
      </c>
      <c r="H46" s="6" t="s">
        <v>254</v>
      </c>
      <c r="I46" s="6" t="s">
        <v>255</v>
      </c>
      <c r="J46" s="6" t="s">
        <v>256</v>
      </c>
      <c r="K46" s="6" t="s">
        <v>257</v>
      </c>
      <c r="L46" s="6" t="s">
        <v>258</v>
      </c>
      <c r="M46" s="6" t="s">
        <v>22</v>
      </c>
    </row>
    <row r="47" spans="1:13" x14ac:dyDescent="0.5">
      <c r="A47" s="6" t="s">
        <v>259</v>
      </c>
      <c r="B47" s="6" t="s">
        <v>15</v>
      </c>
      <c r="C47" s="7">
        <v>46159.641164409702</v>
      </c>
      <c r="D47" s="6" t="s">
        <v>16</v>
      </c>
      <c r="E47" s="6">
        <v>0</v>
      </c>
      <c r="F47" s="6">
        <v>120000</v>
      </c>
      <c r="G47" s="6">
        <v>2800</v>
      </c>
      <c r="H47" s="6" t="s">
        <v>260</v>
      </c>
      <c r="I47" s="6" t="s">
        <v>261</v>
      </c>
      <c r="J47" s="6" t="s">
        <v>262</v>
      </c>
      <c r="K47" s="6" t="s">
        <v>263</v>
      </c>
      <c r="L47" s="6" t="s">
        <v>264</v>
      </c>
      <c r="M47" s="6" t="s">
        <v>22</v>
      </c>
    </row>
    <row r="48" spans="1:13" x14ac:dyDescent="0.5">
      <c r="A48" s="6" t="s">
        <v>259</v>
      </c>
      <c r="B48" s="6" t="s">
        <v>23</v>
      </c>
      <c r="C48" s="7">
        <v>46159.641512129601</v>
      </c>
      <c r="D48" s="6" t="s">
        <v>16</v>
      </c>
      <c r="E48" s="6">
        <v>0</v>
      </c>
      <c r="F48" s="6">
        <v>120000</v>
      </c>
      <c r="G48" s="6">
        <v>3200</v>
      </c>
      <c r="H48" s="6" t="s">
        <v>265</v>
      </c>
      <c r="I48" s="6" t="s">
        <v>266</v>
      </c>
      <c r="J48" s="6" t="s">
        <v>267</v>
      </c>
      <c r="K48" s="6" t="s">
        <v>268</v>
      </c>
      <c r="L48" s="6" t="s">
        <v>269</v>
      </c>
      <c r="M48" s="6" t="s">
        <v>22</v>
      </c>
    </row>
    <row r="49" spans="1:13" x14ac:dyDescent="0.5">
      <c r="A49" s="6" t="s">
        <v>259</v>
      </c>
      <c r="B49" s="6" t="s">
        <v>29</v>
      </c>
      <c r="C49" s="7">
        <v>46159.641819606499</v>
      </c>
      <c r="D49" s="6" t="s">
        <v>16</v>
      </c>
      <c r="E49" s="6">
        <v>0</v>
      </c>
      <c r="F49" s="6">
        <v>120000</v>
      </c>
      <c r="G49" s="6">
        <v>2800</v>
      </c>
      <c r="H49" s="6" t="s">
        <v>270</v>
      </c>
      <c r="I49" s="6" t="s">
        <v>271</v>
      </c>
      <c r="J49" s="6" t="s">
        <v>272</v>
      </c>
      <c r="K49" s="6" t="s">
        <v>273</v>
      </c>
      <c r="L49" s="6" t="s">
        <v>274</v>
      </c>
      <c r="M49" s="6" t="s">
        <v>22</v>
      </c>
    </row>
    <row r="50" spans="1:13" x14ac:dyDescent="0.5">
      <c r="A50" s="6" t="s">
        <v>275</v>
      </c>
      <c r="B50" s="6" t="s">
        <v>15</v>
      </c>
      <c r="C50" s="7">
        <v>46159.642113761598</v>
      </c>
      <c r="D50" s="6" t="s">
        <v>16</v>
      </c>
      <c r="E50" s="6">
        <v>0</v>
      </c>
      <c r="F50" s="6">
        <v>120000</v>
      </c>
      <c r="G50" s="6">
        <v>2800</v>
      </c>
      <c r="H50" s="6" t="s">
        <v>276</v>
      </c>
      <c r="I50" s="6" t="s">
        <v>277</v>
      </c>
      <c r="J50" s="6" t="s">
        <v>278</v>
      </c>
      <c r="K50" s="6" t="s">
        <v>279</v>
      </c>
      <c r="L50" s="6" t="s">
        <v>280</v>
      </c>
      <c r="M50" s="6" t="s">
        <v>22</v>
      </c>
    </row>
    <row r="51" spans="1:13" x14ac:dyDescent="0.5">
      <c r="A51" s="6" t="s">
        <v>275</v>
      </c>
      <c r="B51" s="6" t="s">
        <v>23</v>
      </c>
      <c r="C51" s="7">
        <v>46159.642409085704</v>
      </c>
      <c r="D51" s="6" t="s">
        <v>16</v>
      </c>
      <c r="E51" s="6">
        <v>0</v>
      </c>
      <c r="F51" s="6">
        <v>150000</v>
      </c>
      <c r="G51" s="6">
        <v>3200</v>
      </c>
      <c r="H51" s="6" t="s">
        <v>281</v>
      </c>
      <c r="I51" s="6" t="s">
        <v>282</v>
      </c>
      <c r="J51" s="6" t="s">
        <v>283</v>
      </c>
      <c r="K51" s="6" t="s">
        <v>284</v>
      </c>
      <c r="L51" s="6" t="s">
        <v>285</v>
      </c>
      <c r="M51" s="6" t="s">
        <v>22</v>
      </c>
    </row>
    <row r="52" spans="1:13" x14ac:dyDescent="0.5">
      <c r="A52" s="6" t="s">
        <v>275</v>
      </c>
      <c r="B52" s="6" t="s">
        <v>29</v>
      </c>
      <c r="C52" s="7">
        <v>46159.642741504598</v>
      </c>
      <c r="D52" s="6" t="s">
        <v>16</v>
      </c>
      <c r="E52" s="6">
        <v>0</v>
      </c>
      <c r="F52" s="6">
        <v>150000</v>
      </c>
      <c r="G52" s="6">
        <v>3300</v>
      </c>
      <c r="H52" s="6" t="s">
        <v>286</v>
      </c>
      <c r="I52" s="6" t="s">
        <v>287</v>
      </c>
      <c r="J52" s="6" t="s">
        <v>288</v>
      </c>
      <c r="K52" s="6" t="s">
        <v>289</v>
      </c>
      <c r="L52" s="6" t="s">
        <v>290</v>
      </c>
      <c r="M52" s="6" t="s">
        <v>22</v>
      </c>
    </row>
    <row r="53" spans="1:13" x14ac:dyDescent="0.5">
      <c r="A53" s="6" t="s">
        <v>291</v>
      </c>
      <c r="B53" s="6" t="s">
        <v>15</v>
      </c>
      <c r="C53" s="7">
        <v>46159.6431902431</v>
      </c>
      <c r="D53" s="6" t="s">
        <v>16</v>
      </c>
      <c r="E53" s="6">
        <v>0</v>
      </c>
      <c r="F53" s="6">
        <v>120000</v>
      </c>
      <c r="G53" s="6">
        <v>3300</v>
      </c>
      <c r="H53" s="6" t="s">
        <v>292</v>
      </c>
      <c r="I53" s="6" t="s">
        <v>293</v>
      </c>
      <c r="J53" s="6" t="s">
        <v>294</v>
      </c>
      <c r="K53" s="6" t="s">
        <v>295</v>
      </c>
      <c r="L53" s="6" t="s">
        <v>296</v>
      </c>
      <c r="M53" s="6" t="s">
        <v>22</v>
      </c>
    </row>
    <row r="54" spans="1:13" x14ac:dyDescent="0.5">
      <c r="A54" s="6" t="s">
        <v>291</v>
      </c>
      <c r="B54" s="6" t="s">
        <v>23</v>
      </c>
      <c r="C54" s="7">
        <v>46159.6434894907</v>
      </c>
      <c r="D54" s="6" t="s">
        <v>16</v>
      </c>
      <c r="E54" s="6">
        <v>0</v>
      </c>
      <c r="F54" s="6">
        <v>150000</v>
      </c>
      <c r="G54" s="6">
        <v>3200</v>
      </c>
      <c r="H54" s="6" t="s">
        <v>297</v>
      </c>
      <c r="I54" s="6" t="s">
        <v>298</v>
      </c>
      <c r="J54" s="6" t="s">
        <v>299</v>
      </c>
      <c r="K54" s="6" t="s">
        <v>300</v>
      </c>
      <c r="L54" s="6" t="s">
        <v>301</v>
      </c>
      <c r="M54" s="6" t="s">
        <v>22</v>
      </c>
    </row>
    <row r="55" spans="1:13" x14ac:dyDescent="0.5">
      <c r="A55" s="6" t="s">
        <v>291</v>
      </c>
      <c r="B55" s="6" t="s">
        <v>29</v>
      </c>
      <c r="C55" s="7">
        <v>46159.643758263897</v>
      </c>
      <c r="D55" s="6" t="s">
        <v>16</v>
      </c>
      <c r="E55" s="6">
        <v>0</v>
      </c>
      <c r="F55" s="6">
        <v>120000</v>
      </c>
      <c r="G55" s="6">
        <v>3300</v>
      </c>
      <c r="H55" s="6" t="s">
        <v>302</v>
      </c>
      <c r="I55" s="6" t="s">
        <v>303</v>
      </c>
      <c r="J55" s="6" t="s">
        <v>304</v>
      </c>
      <c r="K55" s="6" t="s">
        <v>305</v>
      </c>
      <c r="L55" s="6" t="s">
        <v>306</v>
      </c>
      <c r="M55" s="6" t="s">
        <v>22</v>
      </c>
    </row>
  </sheetData>
  <pageMargins left="0.7" right="0.7" top="0.78749999999999998" bottom="0.78749999999999998"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5"/>
  <sheetViews>
    <sheetView topLeftCell="A22" zoomScaleNormal="100" workbookViewId="0">
      <selection activeCell="D54" sqref="D54"/>
    </sheetView>
  </sheetViews>
  <sheetFormatPr baseColWidth="10" defaultColWidth="10.52734375" defaultRowHeight="14.35" x14ac:dyDescent="0.5"/>
  <cols>
    <col min="1" max="1" width="9.87890625" style="6" customWidth="1"/>
    <col min="2" max="2" width="9.703125" style="6" customWidth="1"/>
    <col min="3" max="3" width="14.703125" style="6" customWidth="1"/>
    <col min="4" max="4" width="20.05859375" style="6" customWidth="1"/>
    <col min="5" max="5" width="13.41015625" style="6" customWidth="1"/>
    <col min="6" max="6" width="28.76171875" style="6" customWidth="1"/>
    <col min="7" max="7" width="35.29296875" style="6" customWidth="1"/>
    <col min="8" max="12" width="60.703125" style="6" customWidth="1"/>
    <col min="13" max="13" width="8.1171875" style="6" customWidth="1"/>
    <col min="14" max="14" width="8" style="6" customWidth="1"/>
    <col min="15" max="16384" width="10.52734375" style="6"/>
  </cols>
  <sheetData>
    <row r="1" spans="1:14" x14ac:dyDescent="0.5">
      <c r="A1" s="6" t="s">
        <v>0</v>
      </c>
      <c r="B1" s="6" t="s">
        <v>1</v>
      </c>
      <c r="C1" s="6" t="s">
        <v>2</v>
      </c>
      <c r="D1" s="6" t="s">
        <v>3</v>
      </c>
      <c r="E1" s="6" t="s">
        <v>4</v>
      </c>
      <c r="F1" s="6" t="s">
        <v>5</v>
      </c>
      <c r="G1" s="6" t="s">
        <v>6</v>
      </c>
      <c r="H1" s="6" t="s">
        <v>7</v>
      </c>
      <c r="I1" s="6" t="s">
        <v>8</v>
      </c>
      <c r="J1" s="6" t="s">
        <v>9</v>
      </c>
      <c r="K1" s="6" t="s">
        <v>10</v>
      </c>
      <c r="L1" s="6" t="s">
        <v>11</v>
      </c>
      <c r="M1" s="6" t="s">
        <v>12</v>
      </c>
      <c r="N1" s="6" t="s">
        <v>13</v>
      </c>
    </row>
    <row r="2" spans="1:14" x14ac:dyDescent="0.5">
      <c r="A2" s="6" t="s">
        <v>14</v>
      </c>
      <c r="B2" s="6" t="s">
        <v>15</v>
      </c>
      <c r="C2" s="7">
        <v>46159.644069120397</v>
      </c>
      <c r="D2" s="6" t="s">
        <v>307</v>
      </c>
      <c r="E2" s="6">
        <v>0</v>
      </c>
      <c r="F2" s="6">
        <v>100000</v>
      </c>
      <c r="G2" s="6">
        <v>800</v>
      </c>
      <c r="H2" s="6" t="s">
        <v>308</v>
      </c>
      <c r="I2" s="6" t="s">
        <v>309</v>
      </c>
      <c r="J2" s="6" t="s">
        <v>310</v>
      </c>
      <c r="K2" s="6" t="s">
        <v>311</v>
      </c>
      <c r="L2" s="6" t="s">
        <v>312</v>
      </c>
      <c r="M2" s="6" t="s">
        <v>22</v>
      </c>
    </row>
    <row r="3" spans="1:14" x14ac:dyDescent="0.5">
      <c r="A3" s="6" t="s">
        <v>14</v>
      </c>
      <c r="B3" s="6" t="s">
        <v>23</v>
      </c>
      <c r="C3" s="7">
        <v>46159.644612534699</v>
      </c>
      <c r="D3" s="6" t="s">
        <v>307</v>
      </c>
      <c r="E3" s="6">
        <v>0</v>
      </c>
      <c r="F3" s="6">
        <v>100000</v>
      </c>
      <c r="G3" s="6">
        <v>750</v>
      </c>
      <c r="H3" s="6" t="s">
        <v>313</v>
      </c>
      <c r="I3" s="6" t="s">
        <v>314</v>
      </c>
      <c r="J3" s="6" t="s">
        <v>315</v>
      </c>
      <c r="K3" s="6" t="s">
        <v>316</v>
      </c>
      <c r="L3" s="6" t="s">
        <v>317</v>
      </c>
      <c r="M3" s="6" t="s">
        <v>22</v>
      </c>
    </row>
    <row r="4" spans="1:14" x14ac:dyDescent="0.5">
      <c r="A4" s="6" t="s">
        <v>14</v>
      </c>
      <c r="B4" s="6" t="s">
        <v>29</v>
      </c>
      <c r="C4" s="7">
        <v>46159.6449137616</v>
      </c>
      <c r="D4" s="6" t="s">
        <v>307</v>
      </c>
      <c r="E4" s="6">
        <v>0</v>
      </c>
      <c r="F4" s="6">
        <v>100000</v>
      </c>
      <c r="G4" s="6">
        <v>800</v>
      </c>
      <c r="H4" s="6" t="s">
        <v>318</v>
      </c>
      <c r="I4" s="6" t="s">
        <v>319</v>
      </c>
      <c r="J4" s="6" t="s">
        <v>320</v>
      </c>
      <c r="K4" s="6" t="s">
        <v>321</v>
      </c>
      <c r="L4" s="6" t="s">
        <v>322</v>
      </c>
      <c r="M4" s="6" t="s">
        <v>22</v>
      </c>
    </row>
    <row r="5" spans="1:14" x14ac:dyDescent="0.5">
      <c r="A5" s="6" t="s">
        <v>35</v>
      </c>
      <c r="B5" s="6" t="s">
        <v>15</v>
      </c>
      <c r="C5" s="7">
        <v>46159.645263148203</v>
      </c>
      <c r="D5" s="6" t="s">
        <v>307</v>
      </c>
      <c r="E5" s="6">
        <v>0</v>
      </c>
      <c r="F5" s="6">
        <v>150000</v>
      </c>
      <c r="G5" s="6">
        <v>800</v>
      </c>
      <c r="H5" s="6" t="s">
        <v>323</v>
      </c>
      <c r="I5" s="6" t="s">
        <v>324</v>
      </c>
      <c r="J5" s="6" t="s">
        <v>325</v>
      </c>
      <c r="K5" s="6" t="s">
        <v>326</v>
      </c>
      <c r="L5" s="6" t="s">
        <v>327</v>
      </c>
      <c r="M5" s="6" t="s">
        <v>22</v>
      </c>
    </row>
    <row r="6" spans="1:14" x14ac:dyDescent="0.5">
      <c r="A6" s="6" t="s">
        <v>35</v>
      </c>
      <c r="B6" s="6" t="s">
        <v>23</v>
      </c>
      <c r="C6" s="7">
        <v>46159.645684016199</v>
      </c>
      <c r="D6" s="6" t="s">
        <v>307</v>
      </c>
      <c r="E6" s="6">
        <v>0</v>
      </c>
      <c r="F6" s="6">
        <v>150000</v>
      </c>
      <c r="G6" s="6">
        <v>800</v>
      </c>
      <c r="H6" s="6" t="s">
        <v>328</v>
      </c>
      <c r="I6" s="6" t="s">
        <v>329</v>
      </c>
      <c r="J6" s="6" t="s">
        <v>330</v>
      </c>
      <c r="K6" s="6" t="s">
        <v>331</v>
      </c>
      <c r="L6" s="6" t="s">
        <v>332</v>
      </c>
      <c r="M6" s="6" t="s">
        <v>22</v>
      </c>
    </row>
    <row r="7" spans="1:14" x14ac:dyDescent="0.5">
      <c r="A7" s="6" t="s">
        <v>35</v>
      </c>
      <c r="B7" s="6" t="s">
        <v>29</v>
      </c>
      <c r="C7" s="7">
        <v>46159.646035011603</v>
      </c>
      <c r="D7" s="6" t="s">
        <v>307</v>
      </c>
      <c r="E7" s="6">
        <v>0</v>
      </c>
      <c r="F7" s="6">
        <v>150000</v>
      </c>
      <c r="G7" s="6">
        <v>900</v>
      </c>
      <c r="H7" s="6" t="s">
        <v>333</v>
      </c>
      <c r="I7" s="6" t="s">
        <v>334</v>
      </c>
      <c r="J7" s="6" t="s">
        <v>335</v>
      </c>
      <c r="K7" s="6" t="s">
        <v>336</v>
      </c>
      <c r="L7" s="6" t="s">
        <v>337</v>
      </c>
      <c r="M7" s="6" t="s">
        <v>22</v>
      </c>
    </row>
    <row r="8" spans="1:14" x14ac:dyDescent="0.5">
      <c r="A8" s="6" t="s">
        <v>51</v>
      </c>
      <c r="B8" s="6" t="s">
        <v>15</v>
      </c>
      <c r="C8" s="7">
        <v>46159.646314108802</v>
      </c>
      <c r="D8" s="6" t="s">
        <v>307</v>
      </c>
      <c r="E8" s="6">
        <v>0</v>
      </c>
      <c r="F8" s="6">
        <v>100000</v>
      </c>
      <c r="G8" s="6">
        <v>800</v>
      </c>
      <c r="H8" s="6" t="s">
        <v>338</v>
      </c>
      <c r="I8" s="6" t="s">
        <v>339</v>
      </c>
      <c r="J8" s="6" t="s">
        <v>340</v>
      </c>
      <c r="K8" s="6" t="s">
        <v>341</v>
      </c>
      <c r="L8" s="6" t="s">
        <v>342</v>
      </c>
      <c r="M8" s="6" t="s">
        <v>22</v>
      </c>
    </row>
    <row r="9" spans="1:14" x14ac:dyDescent="0.5">
      <c r="A9" s="6" t="s">
        <v>51</v>
      </c>
      <c r="B9" s="6" t="s">
        <v>23</v>
      </c>
      <c r="C9" s="7">
        <v>46159.646583703703</v>
      </c>
      <c r="D9" s="6" t="s">
        <v>307</v>
      </c>
      <c r="E9" s="6">
        <v>0</v>
      </c>
      <c r="F9" s="6">
        <v>100000</v>
      </c>
      <c r="G9" s="6">
        <v>750</v>
      </c>
      <c r="H9" s="6" t="s">
        <v>343</v>
      </c>
      <c r="I9" s="6" t="s">
        <v>344</v>
      </c>
      <c r="J9" s="6" t="s">
        <v>345</v>
      </c>
      <c r="K9" s="6" t="s">
        <v>346</v>
      </c>
      <c r="L9" s="6" t="s">
        <v>347</v>
      </c>
      <c r="M9" s="6" t="s">
        <v>22</v>
      </c>
    </row>
    <row r="10" spans="1:14" x14ac:dyDescent="0.5">
      <c r="A10" s="6" t="s">
        <v>51</v>
      </c>
      <c r="B10" s="6" t="s">
        <v>29</v>
      </c>
      <c r="C10" s="7">
        <v>46159.646853645798</v>
      </c>
      <c r="D10" s="6" t="s">
        <v>307</v>
      </c>
      <c r="E10" s="6">
        <v>0</v>
      </c>
      <c r="F10" s="6">
        <v>100000</v>
      </c>
      <c r="G10" s="6">
        <v>800</v>
      </c>
      <c r="H10" s="6" t="s">
        <v>348</v>
      </c>
      <c r="I10" s="6" t="s">
        <v>349</v>
      </c>
      <c r="J10" s="6" t="s">
        <v>350</v>
      </c>
      <c r="K10" s="6" t="s">
        <v>351</v>
      </c>
      <c r="L10" s="6" t="s">
        <v>352</v>
      </c>
      <c r="M10" s="6" t="s">
        <v>22</v>
      </c>
    </row>
    <row r="11" spans="1:14" x14ac:dyDescent="0.5">
      <c r="A11" s="6" t="s">
        <v>67</v>
      </c>
      <c r="B11" s="6" t="s">
        <v>15</v>
      </c>
      <c r="C11" s="7">
        <v>46159.647197743099</v>
      </c>
      <c r="D11" s="6" t="s">
        <v>307</v>
      </c>
      <c r="E11" s="6">
        <v>0</v>
      </c>
      <c r="F11" s="6">
        <v>150000</v>
      </c>
      <c r="G11" s="6">
        <v>850</v>
      </c>
      <c r="H11" s="6" t="s">
        <v>353</v>
      </c>
      <c r="I11" s="6" t="s">
        <v>354</v>
      </c>
      <c r="J11" s="6" t="s">
        <v>355</v>
      </c>
      <c r="K11" s="6" t="s">
        <v>356</v>
      </c>
      <c r="L11" s="6" t="s">
        <v>357</v>
      </c>
      <c r="M11" s="6" t="s">
        <v>22</v>
      </c>
    </row>
    <row r="12" spans="1:14" x14ac:dyDescent="0.5">
      <c r="A12" s="6" t="s">
        <v>67</v>
      </c>
      <c r="B12" s="6" t="s">
        <v>23</v>
      </c>
      <c r="C12" s="7">
        <v>46159.647526481502</v>
      </c>
      <c r="D12" s="6" t="s">
        <v>307</v>
      </c>
      <c r="E12" s="6">
        <v>0</v>
      </c>
      <c r="F12" s="6">
        <v>200000</v>
      </c>
      <c r="G12" s="6">
        <v>1200</v>
      </c>
      <c r="H12" s="6" t="s">
        <v>358</v>
      </c>
      <c r="I12" s="6" t="s">
        <v>359</v>
      </c>
      <c r="J12" s="6" t="s">
        <v>360</v>
      </c>
      <c r="K12" s="6" t="s">
        <v>361</v>
      </c>
      <c r="L12" s="6" t="s">
        <v>362</v>
      </c>
      <c r="M12" s="6" t="s">
        <v>22</v>
      </c>
    </row>
    <row r="13" spans="1:14" x14ac:dyDescent="0.5">
      <c r="A13" s="6" t="s">
        <v>67</v>
      </c>
      <c r="B13" s="6" t="s">
        <v>29</v>
      </c>
      <c r="C13" s="7">
        <v>46159.647853761599</v>
      </c>
      <c r="D13" s="6" t="s">
        <v>307</v>
      </c>
      <c r="E13" s="6">
        <v>0</v>
      </c>
      <c r="F13" s="6">
        <v>150000</v>
      </c>
      <c r="G13" s="6">
        <v>1000</v>
      </c>
      <c r="H13" s="6" t="s">
        <v>353</v>
      </c>
      <c r="I13" s="6" t="s">
        <v>363</v>
      </c>
      <c r="J13" s="6" t="s">
        <v>364</v>
      </c>
      <c r="K13" s="6" t="s">
        <v>365</v>
      </c>
      <c r="L13" s="6" t="s">
        <v>366</v>
      </c>
      <c r="M13" s="6" t="s">
        <v>22</v>
      </c>
    </row>
    <row r="14" spans="1:14" x14ac:dyDescent="0.5">
      <c r="A14" s="6" t="s">
        <v>83</v>
      </c>
      <c r="B14" s="6" t="s">
        <v>15</v>
      </c>
      <c r="C14" s="7">
        <v>46159.648166585699</v>
      </c>
      <c r="D14" s="6" t="s">
        <v>307</v>
      </c>
      <c r="E14" s="6">
        <v>0</v>
      </c>
      <c r="F14" s="6">
        <v>150000</v>
      </c>
      <c r="G14" s="6">
        <v>900</v>
      </c>
      <c r="H14" s="6" t="s">
        <v>367</v>
      </c>
      <c r="I14" s="6" t="s">
        <v>368</v>
      </c>
      <c r="J14" s="6" t="s">
        <v>369</v>
      </c>
      <c r="K14" s="6" t="s">
        <v>370</v>
      </c>
      <c r="L14" s="6" t="s">
        <v>371</v>
      </c>
      <c r="M14" s="6" t="s">
        <v>22</v>
      </c>
    </row>
    <row r="15" spans="1:14" x14ac:dyDescent="0.5">
      <c r="A15" s="6" t="s">
        <v>83</v>
      </c>
      <c r="B15" s="6" t="s">
        <v>23</v>
      </c>
      <c r="C15" s="7">
        <v>46159.648464097198</v>
      </c>
      <c r="D15" s="6" t="s">
        <v>307</v>
      </c>
      <c r="E15" s="6">
        <v>0</v>
      </c>
      <c r="F15" s="6">
        <v>100000</v>
      </c>
      <c r="G15" s="6">
        <v>800</v>
      </c>
      <c r="H15" s="6" t="s">
        <v>372</v>
      </c>
      <c r="I15" s="6" t="s">
        <v>373</v>
      </c>
      <c r="J15" s="6" t="s">
        <v>374</v>
      </c>
      <c r="K15" s="6" t="s">
        <v>375</v>
      </c>
      <c r="L15" s="6" t="s">
        <v>376</v>
      </c>
      <c r="M15" s="6" t="s">
        <v>22</v>
      </c>
    </row>
    <row r="16" spans="1:14" x14ac:dyDescent="0.5">
      <c r="A16" s="6" t="s">
        <v>83</v>
      </c>
      <c r="B16" s="6" t="s">
        <v>29</v>
      </c>
      <c r="C16" s="7">
        <v>46159.648722083301</v>
      </c>
      <c r="D16" s="6" t="s">
        <v>307</v>
      </c>
      <c r="E16" s="6">
        <v>0</v>
      </c>
      <c r="F16" s="6">
        <v>100000</v>
      </c>
      <c r="G16" s="6">
        <v>800</v>
      </c>
      <c r="H16" s="6" t="s">
        <v>377</v>
      </c>
      <c r="I16" s="6" t="s">
        <v>378</v>
      </c>
      <c r="J16" s="6" t="s">
        <v>379</v>
      </c>
      <c r="K16" s="6" t="s">
        <v>380</v>
      </c>
      <c r="L16" s="6" t="s">
        <v>381</v>
      </c>
      <c r="M16" s="6" t="s">
        <v>22</v>
      </c>
    </row>
    <row r="17" spans="1:13" x14ac:dyDescent="0.5">
      <c r="A17" s="6" t="s">
        <v>99</v>
      </c>
      <c r="B17" s="6" t="s">
        <v>15</v>
      </c>
      <c r="C17" s="7">
        <v>46159.648988032401</v>
      </c>
      <c r="D17" s="6" t="s">
        <v>307</v>
      </c>
      <c r="E17" s="6">
        <v>0</v>
      </c>
      <c r="F17" s="6">
        <v>200000</v>
      </c>
      <c r="G17" s="6">
        <v>1000</v>
      </c>
      <c r="H17" s="6" t="s">
        <v>382</v>
      </c>
      <c r="I17" s="6" t="s">
        <v>383</v>
      </c>
      <c r="J17" s="6" t="s">
        <v>384</v>
      </c>
      <c r="K17" s="6" t="s">
        <v>385</v>
      </c>
      <c r="L17" s="6" t="s">
        <v>386</v>
      </c>
      <c r="M17" s="6" t="s">
        <v>22</v>
      </c>
    </row>
    <row r="18" spans="1:13" x14ac:dyDescent="0.5">
      <c r="A18" s="6" t="s">
        <v>99</v>
      </c>
      <c r="B18" s="6" t="s">
        <v>23</v>
      </c>
      <c r="C18" s="7">
        <v>46159.649260509301</v>
      </c>
      <c r="D18" s="6" t="s">
        <v>307</v>
      </c>
      <c r="E18" s="6">
        <v>0</v>
      </c>
      <c r="F18" s="6">
        <v>150000</v>
      </c>
      <c r="G18" s="6">
        <v>850</v>
      </c>
      <c r="H18" s="6" t="s">
        <v>387</v>
      </c>
      <c r="I18" s="6" t="s">
        <v>388</v>
      </c>
      <c r="J18" s="6" t="s">
        <v>389</v>
      </c>
      <c r="K18" s="6" t="s">
        <v>390</v>
      </c>
      <c r="L18" s="6" t="s">
        <v>391</v>
      </c>
      <c r="M18" s="6" t="s">
        <v>22</v>
      </c>
    </row>
    <row r="19" spans="1:13" x14ac:dyDescent="0.5">
      <c r="A19" s="6" t="s">
        <v>99</v>
      </c>
      <c r="B19" s="6" t="s">
        <v>29</v>
      </c>
      <c r="C19" s="7">
        <v>46159.649553611103</v>
      </c>
      <c r="D19" s="6" t="s">
        <v>307</v>
      </c>
      <c r="E19" s="6">
        <v>0</v>
      </c>
      <c r="F19" s="6">
        <v>150000</v>
      </c>
      <c r="G19" s="6">
        <v>1000</v>
      </c>
      <c r="H19" s="6" t="s">
        <v>392</v>
      </c>
      <c r="I19" s="6" t="s">
        <v>393</v>
      </c>
      <c r="J19" s="6" t="s">
        <v>394</v>
      </c>
      <c r="K19" s="6" t="s">
        <v>395</v>
      </c>
      <c r="L19" s="6" t="s">
        <v>396</v>
      </c>
      <c r="M19" s="6" t="s">
        <v>22</v>
      </c>
    </row>
    <row r="20" spans="1:13" x14ac:dyDescent="0.5">
      <c r="A20" s="6" t="s">
        <v>115</v>
      </c>
      <c r="B20" s="6" t="s">
        <v>15</v>
      </c>
      <c r="C20" s="7">
        <v>46159.6498448727</v>
      </c>
      <c r="D20" s="6" t="s">
        <v>307</v>
      </c>
      <c r="E20" s="6">
        <v>0</v>
      </c>
      <c r="F20" s="6">
        <v>168000</v>
      </c>
      <c r="G20" s="6">
        <v>1350</v>
      </c>
      <c r="H20" s="6" t="s">
        <v>397</v>
      </c>
      <c r="I20" s="6" t="s">
        <v>398</v>
      </c>
      <c r="J20" s="6" t="s">
        <v>399</v>
      </c>
      <c r="K20" s="6" t="s">
        <v>400</v>
      </c>
      <c r="L20" s="6" t="s">
        <v>401</v>
      </c>
      <c r="M20" s="6" t="s">
        <v>22</v>
      </c>
    </row>
    <row r="21" spans="1:13" x14ac:dyDescent="0.5">
      <c r="A21" s="6" t="s">
        <v>115</v>
      </c>
      <c r="B21" s="6" t="s">
        <v>23</v>
      </c>
      <c r="C21" s="7">
        <v>46159.650404363398</v>
      </c>
      <c r="D21" s="6" t="s">
        <v>307</v>
      </c>
      <c r="E21" s="6">
        <v>0</v>
      </c>
      <c r="F21" s="6">
        <v>168000</v>
      </c>
      <c r="G21" s="6">
        <v>1200</v>
      </c>
      <c r="H21" s="6" t="s">
        <v>402</v>
      </c>
      <c r="I21" s="6" t="s">
        <v>403</v>
      </c>
      <c r="J21" s="6" t="s">
        <v>404</v>
      </c>
      <c r="K21" s="6" t="s">
        <v>405</v>
      </c>
      <c r="L21" s="6" t="s">
        <v>406</v>
      </c>
      <c r="M21" s="6" t="s">
        <v>22</v>
      </c>
    </row>
    <row r="22" spans="1:13" x14ac:dyDescent="0.5">
      <c r="A22" s="6" t="s">
        <v>115</v>
      </c>
      <c r="B22" s="6" t="s">
        <v>29</v>
      </c>
      <c r="C22" s="7">
        <v>46159.650686250003</v>
      </c>
      <c r="D22" s="6" t="s">
        <v>307</v>
      </c>
      <c r="E22" s="6">
        <v>0</v>
      </c>
      <c r="F22" s="6">
        <v>150000</v>
      </c>
      <c r="G22" s="6">
        <v>1200</v>
      </c>
      <c r="H22" s="6" t="s">
        <v>407</v>
      </c>
      <c r="I22" s="6" t="s">
        <v>408</v>
      </c>
      <c r="J22" s="6" t="s">
        <v>409</v>
      </c>
      <c r="K22" s="6" t="s">
        <v>410</v>
      </c>
      <c r="L22" s="6" t="s">
        <v>411</v>
      </c>
      <c r="M22" s="6" t="s">
        <v>22</v>
      </c>
    </row>
    <row r="23" spans="1:13" x14ac:dyDescent="0.5">
      <c r="A23" s="6" t="s">
        <v>131</v>
      </c>
      <c r="B23" s="6" t="s">
        <v>15</v>
      </c>
      <c r="C23" s="7">
        <v>46159.651117141198</v>
      </c>
      <c r="D23" s="6" t="s">
        <v>307</v>
      </c>
      <c r="E23" s="6">
        <v>0</v>
      </c>
      <c r="F23" s="6">
        <v>250000</v>
      </c>
      <c r="G23" s="6">
        <v>1800</v>
      </c>
      <c r="H23" s="6" t="s">
        <v>412</v>
      </c>
      <c r="I23" s="6" t="s">
        <v>413</v>
      </c>
      <c r="J23" s="6" t="s">
        <v>414</v>
      </c>
      <c r="K23" s="6" t="s">
        <v>415</v>
      </c>
      <c r="L23" s="6" t="s">
        <v>416</v>
      </c>
      <c r="M23" s="6" t="s">
        <v>22</v>
      </c>
    </row>
    <row r="24" spans="1:13" x14ac:dyDescent="0.5">
      <c r="A24" s="6" t="s">
        <v>131</v>
      </c>
      <c r="B24" s="6" t="s">
        <v>23</v>
      </c>
      <c r="C24" s="7">
        <v>46159.651548680602</v>
      </c>
      <c r="D24" s="6" t="s">
        <v>307</v>
      </c>
      <c r="E24" s="6">
        <v>0</v>
      </c>
      <c r="F24" s="6">
        <v>200000</v>
      </c>
      <c r="G24" s="6">
        <v>1400</v>
      </c>
      <c r="H24" s="6" t="s">
        <v>417</v>
      </c>
      <c r="I24" s="6" t="s">
        <v>418</v>
      </c>
      <c r="J24" s="6" t="s">
        <v>419</v>
      </c>
      <c r="K24" s="6" t="s">
        <v>420</v>
      </c>
      <c r="L24" s="6" t="s">
        <v>421</v>
      </c>
      <c r="M24" s="6" t="s">
        <v>22</v>
      </c>
    </row>
    <row r="25" spans="1:13" x14ac:dyDescent="0.5">
      <c r="A25" s="6" t="s">
        <v>131</v>
      </c>
      <c r="B25" s="6" t="s">
        <v>29</v>
      </c>
      <c r="C25" s="7">
        <v>46159.651929340303</v>
      </c>
      <c r="D25" s="6" t="s">
        <v>307</v>
      </c>
      <c r="E25" s="6">
        <v>0</v>
      </c>
      <c r="F25" s="6">
        <v>300000</v>
      </c>
      <c r="G25" s="6">
        <v>1400</v>
      </c>
      <c r="H25" s="6" t="s">
        <v>422</v>
      </c>
      <c r="I25" s="6" t="s">
        <v>423</v>
      </c>
      <c r="J25" s="6" t="s">
        <v>424</v>
      </c>
      <c r="K25" s="6" t="s">
        <v>425</v>
      </c>
      <c r="L25" s="6" t="s">
        <v>426</v>
      </c>
      <c r="M25" s="6" t="s">
        <v>22</v>
      </c>
    </row>
    <row r="26" spans="1:13" x14ac:dyDescent="0.5">
      <c r="A26" s="6" t="s">
        <v>147</v>
      </c>
      <c r="B26" s="6" t="s">
        <v>15</v>
      </c>
      <c r="C26" s="7">
        <v>46159.652500069496</v>
      </c>
      <c r="D26" s="6" t="s">
        <v>307</v>
      </c>
      <c r="E26" s="6">
        <v>0</v>
      </c>
      <c r="F26" s="6">
        <v>150000</v>
      </c>
      <c r="G26" s="6">
        <v>1350</v>
      </c>
      <c r="H26" s="6" t="s">
        <v>427</v>
      </c>
      <c r="I26" s="6" t="s">
        <v>428</v>
      </c>
      <c r="J26" s="6" t="s">
        <v>429</v>
      </c>
      <c r="K26" s="6" t="s">
        <v>430</v>
      </c>
      <c r="L26" s="6" t="s">
        <v>431</v>
      </c>
      <c r="M26" s="6" t="s">
        <v>22</v>
      </c>
    </row>
    <row r="27" spans="1:13" x14ac:dyDescent="0.5">
      <c r="A27" s="6" t="s">
        <v>147</v>
      </c>
      <c r="B27" s="6" t="s">
        <v>23</v>
      </c>
      <c r="C27" s="7">
        <v>46159.652838194401</v>
      </c>
      <c r="D27" s="6" t="s">
        <v>307</v>
      </c>
      <c r="E27" s="6">
        <v>0</v>
      </c>
      <c r="F27" s="6">
        <v>150000</v>
      </c>
      <c r="G27" s="6">
        <v>1350</v>
      </c>
      <c r="H27" s="6" t="s">
        <v>432</v>
      </c>
      <c r="I27" s="6" t="s">
        <v>433</v>
      </c>
      <c r="J27" s="6" t="s">
        <v>434</v>
      </c>
      <c r="K27" s="6" t="s">
        <v>435</v>
      </c>
      <c r="L27" s="6" t="s">
        <v>436</v>
      </c>
      <c r="M27" s="6" t="s">
        <v>22</v>
      </c>
    </row>
    <row r="28" spans="1:13" x14ac:dyDescent="0.5">
      <c r="A28" s="6" t="s">
        <v>147</v>
      </c>
      <c r="B28" s="6" t="s">
        <v>29</v>
      </c>
      <c r="C28" s="7">
        <v>46159.653174328698</v>
      </c>
      <c r="D28" s="6" t="s">
        <v>307</v>
      </c>
      <c r="E28" s="6">
        <v>0</v>
      </c>
      <c r="F28" s="6">
        <v>200000</v>
      </c>
      <c r="G28" s="6">
        <v>1200</v>
      </c>
      <c r="H28" s="6" t="s">
        <v>427</v>
      </c>
      <c r="I28" s="6" t="s">
        <v>437</v>
      </c>
      <c r="J28" s="6" t="s">
        <v>438</v>
      </c>
      <c r="K28" s="6" t="s">
        <v>439</v>
      </c>
      <c r="L28" s="6" t="s">
        <v>440</v>
      </c>
      <c r="M28" s="6" t="s">
        <v>22</v>
      </c>
    </row>
    <row r="29" spans="1:13" x14ac:dyDescent="0.5">
      <c r="A29" s="6" t="s">
        <v>163</v>
      </c>
      <c r="B29" s="6" t="s">
        <v>15</v>
      </c>
      <c r="C29" s="7">
        <v>46159.653543240704</v>
      </c>
      <c r="D29" s="6" t="s">
        <v>307</v>
      </c>
      <c r="E29" s="6">
        <v>0</v>
      </c>
      <c r="F29" s="6">
        <v>250000</v>
      </c>
      <c r="G29" s="6">
        <v>1350</v>
      </c>
      <c r="H29" s="6" t="s">
        <v>441</v>
      </c>
      <c r="I29" s="6" t="s">
        <v>442</v>
      </c>
      <c r="J29" s="6" t="s">
        <v>443</v>
      </c>
      <c r="K29" s="6" t="s">
        <v>444</v>
      </c>
      <c r="L29" s="6" t="s">
        <v>445</v>
      </c>
      <c r="M29" s="6" t="s">
        <v>22</v>
      </c>
    </row>
    <row r="30" spans="1:13" x14ac:dyDescent="0.5">
      <c r="A30" s="6" t="s">
        <v>163</v>
      </c>
      <c r="B30" s="6" t="s">
        <v>23</v>
      </c>
      <c r="C30" s="7">
        <v>46159.653946539402</v>
      </c>
      <c r="D30" s="6" t="s">
        <v>307</v>
      </c>
      <c r="E30" s="6">
        <v>0</v>
      </c>
      <c r="F30" s="6">
        <v>210000</v>
      </c>
      <c r="G30" s="6">
        <v>1350</v>
      </c>
      <c r="H30" s="6" t="s">
        <v>446</v>
      </c>
      <c r="I30" s="6" t="s">
        <v>447</v>
      </c>
      <c r="J30" s="6" t="s">
        <v>448</v>
      </c>
      <c r="K30" s="6" t="s">
        <v>449</v>
      </c>
      <c r="L30" s="6" t="s">
        <v>450</v>
      </c>
      <c r="M30" s="6" t="s">
        <v>22</v>
      </c>
    </row>
    <row r="31" spans="1:13" x14ac:dyDescent="0.5">
      <c r="A31" s="6" t="s">
        <v>163</v>
      </c>
      <c r="B31" s="6" t="s">
        <v>29</v>
      </c>
      <c r="C31" s="7">
        <v>46159.654293368098</v>
      </c>
      <c r="D31" s="6" t="s">
        <v>307</v>
      </c>
      <c r="E31" s="6">
        <v>0</v>
      </c>
      <c r="F31" s="6">
        <v>300000</v>
      </c>
      <c r="G31" s="6">
        <v>1500</v>
      </c>
      <c r="H31" s="6" t="s">
        <v>451</v>
      </c>
      <c r="I31" s="6" t="s">
        <v>452</v>
      </c>
      <c r="J31" s="6" t="s">
        <v>453</v>
      </c>
      <c r="K31" s="6" t="s">
        <v>454</v>
      </c>
      <c r="L31" s="6" t="s">
        <v>455</v>
      </c>
      <c r="M31" s="6" t="s">
        <v>22</v>
      </c>
    </row>
    <row r="32" spans="1:13" x14ac:dyDescent="0.5">
      <c r="A32" s="6" t="s">
        <v>179</v>
      </c>
      <c r="B32" s="6" t="s">
        <v>15</v>
      </c>
      <c r="C32" s="7">
        <v>46159.654674525496</v>
      </c>
      <c r="D32" s="6" t="s">
        <v>307</v>
      </c>
      <c r="E32" s="6">
        <v>0</v>
      </c>
      <c r="F32" s="6">
        <v>150000</v>
      </c>
      <c r="G32" s="6">
        <v>1350</v>
      </c>
      <c r="H32" s="6" t="s">
        <v>456</v>
      </c>
      <c r="I32" s="6" t="s">
        <v>457</v>
      </c>
      <c r="J32" s="6" t="s">
        <v>458</v>
      </c>
      <c r="K32" s="6" t="s">
        <v>459</v>
      </c>
      <c r="L32" s="6" t="s">
        <v>460</v>
      </c>
      <c r="M32" s="6" t="s">
        <v>22</v>
      </c>
    </row>
    <row r="33" spans="1:13" x14ac:dyDescent="0.5">
      <c r="A33" s="6" t="s">
        <v>179</v>
      </c>
      <c r="B33" s="6" t="s">
        <v>23</v>
      </c>
      <c r="C33" s="7">
        <v>46159.768202939798</v>
      </c>
      <c r="D33" s="6" t="s">
        <v>307</v>
      </c>
      <c r="E33" s="6">
        <v>0</v>
      </c>
      <c r="F33" s="6">
        <v>200000</v>
      </c>
      <c r="G33" s="6">
        <v>1500</v>
      </c>
      <c r="H33" s="6" t="s">
        <v>461</v>
      </c>
      <c r="I33" s="6" t="s">
        <v>462</v>
      </c>
      <c r="J33" s="6" t="s">
        <v>463</v>
      </c>
      <c r="K33" s="6" t="s">
        <v>464</v>
      </c>
      <c r="L33" s="6" t="s">
        <v>465</v>
      </c>
      <c r="M33" s="6" t="s">
        <v>22</v>
      </c>
    </row>
    <row r="34" spans="1:13" x14ac:dyDescent="0.5">
      <c r="A34" s="6" t="s">
        <v>179</v>
      </c>
      <c r="B34" s="6" t="s">
        <v>29</v>
      </c>
      <c r="C34" s="7">
        <v>46159.768880775497</v>
      </c>
      <c r="D34" s="6" t="s">
        <v>307</v>
      </c>
      <c r="E34" s="6">
        <v>0</v>
      </c>
      <c r="F34" s="6">
        <v>168000</v>
      </c>
      <c r="G34" s="6">
        <v>1500</v>
      </c>
      <c r="H34" s="6" t="s">
        <v>466</v>
      </c>
      <c r="I34" s="6" t="s">
        <v>467</v>
      </c>
      <c r="J34" s="6" t="s">
        <v>468</v>
      </c>
      <c r="K34" s="6" t="s">
        <v>469</v>
      </c>
      <c r="L34" s="6" t="s">
        <v>470</v>
      </c>
      <c r="M34" s="6" t="s">
        <v>22</v>
      </c>
    </row>
    <row r="35" spans="1:13" x14ac:dyDescent="0.5">
      <c r="A35" s="6" t="s">
        <v>195</v>
      </c>
      <c r="B35" s="6" t="s">
        <v>15</v>
      </c>
      <c r="C35" s="7">
        <v>46159.769202534699</v>
      </c>
      <c r="D35" s="6" t="s">
        <v>307</v>
      </c>
      <c r="E35" s="6">
        <v>0</v>
      </c>
      <c r="F35" s="6">
        <v>300000</v>
      </c>
      <c r="G35" s="6">
        <v>1500</v>
      </c>
      <c r="H35" s="6" t="s">
        <v>471</v>
      </c>
      <c r="I35" s="6" t="s">
        <v>472</v>
      </c>
      <c r="J35" s="6" t="s">
        <v>473</v>
      </c>
      <c r="K35" s="6" t="s">
        <v>474</v>
      </c>
      <c r="L35" s="6" t="s">
        <v>475</v>
      </c>
      <c r="M35" s="6" t="s">
        <v>22</v>
      </c>
    </row>
    <row r="36" spans="1:13" x14ac:dyDescent="0.5">
      <c r="A36" s="6" t="s">
        <v>195</v>
      </c>
      <c r="B36" s="6" t="s">
        <v>23</v>
      </c>
      <c r="C36" s="7">
        <v>46159.769585405098</v>
      </c>
      <c r="D36" s="6" t="s">
        <v>307</v>
      </c>
      <c r="E36" s="6">
        <v>0</v>
      </c>
      <c r="F36" s="6">
        <v>210000</v>
      </c>
      <c r="G36" s="6">
        <v>1500</v>
      </c>
      <c r="H36" s="6" t="s">
        <v>476</v>
      </c>
      <c r="I36" s="6" t="s">
        <v>477</v>
      </c>
      <c r="J36" s="6" t="s">
        <v>478</v>
      </c>
      <c r="K36" s="6" t="s">
        <v>479</v>
      </c>
      <c r="L36" s="6" t="s">
        <v>480</v>
      </c>
      <c r="M36" s="6" t="s">
        <v>22</v>
      </c>
    </row>
    <row r="37" spans="1:13" x14ac:dyDescent="0.5">
      <c r="A37" s="6" t="s">
        <v>195</v>
      </c>
      <c r="B37" s="6" t="s">
        <v>29</v>
      </c>
      <c r="C37" s="7">
        <v>46159.769925023204</v>
      </c>
      <c r="D37" s="6" t="s">
        <v>307</v>
      </c>
      <c r="E37" s="6">
        <v>0</v>
      </c>
      <c r="F37" s="6">
        <v>210000</v>
      </c>
      <c r="G37" s="6">
        <v>1500</v>
      </c>
      <c r="H37" s="6" t="s">
        <v>471</v>
      </c>
      <c r="I37" s="6" t="s">
        <v>481</v>
      </c>
      <c r="J37" s="6" t="s">
        <v>482</v>
      </c>
      <c r="K37" s="6" t="s">
        <v>483</v>
      </c>
      <c r="L37" s="6" t="s">
        <v>484</v>
      </c>
      <c r="M37" s="6" t="s">
        <v>22</v>
      </c>
    </row>
    <row r="38" spans="1:13" x14ac:dyDescent="0.5">
      <c r="A38" s="6" t="s">
        <v>211</v>
      </c>
      <c r="B38" s="6" t="s">
        <v>15</v>
      </c>
      <c r="C38" s="7">
        <v>46159.770233715302</v>
      </c>
      <c r="D38" s="6" t="s">
        <v>307</v>
      </c>
      <c r="E38" s="6">
        <v>0</v>
      </c>
      <c r="F38" s="6">
        <v>150000</v>
      </c>
      <c r="G38" s="6">
        <v>3000</v>
      </c>
      <c r="H38" s="6" t="s">
        <v>485</v>
      </c>
      <c r="I38" s="6" t="s">
        <v>486</v>
      </c>
      <c r="J38" s="6" t="s">
        <v>487</v>
      </c>
      <c r="K38" s="6" t="s">
        <v>488</v>
      </c>
      <c r="L38" s="6" t="s">
        <v>489</v>
      </c>
      <c r="M38" s="6" t="s">
        <v>22</v>
      </c>
    </row>
    <row r="39" spans="1:13" x14ac:dyDescent="0.5">
      <c r="A39" s="6" t="s">
        <v>211</v>
      </c>
      <c r="B39" s="6" t="s">
        <v>23</v>
      </c>
      <c r="C39" s="7">
        <v>46159.770833148199</v>
      </c>
      <c r="D39" s="6" t="s">
        <v>307</v>
      </c>
      <c r="E39" s="6">
        <v>0</v>
      </c>
      <c r="F39" s="6">
        <v>300000</v>
      </c>
      <c r="G39" s="6">
        <v>3000</v>
      </c>
      <c r="H39" s="6" t="s">
        <v>490</v>
      </c>
      <c r="I39" s="6" t="s">
        <v>491</v>
      </c>
      <c r="J39" s="6" t="s">
        <v>492</v>
      </c>
      <c r="K39" s="6" t="s">
        <v>493</v>
      </c>
      <c r="L39" s="6" t="s">
        <v>494</v>
      </c>
      <c r="M39" s="6" t="s">
        <v>22</v>
      </c>
    </row>
    <row r="40" spans="1:13" x14ac:dyDescent="0.5">
      <c r="A40" s="6" t="s">
        <v>211</v>
      </c>
      <c r="B40" s="6" t="s">
        <v>29</v>
      </c>
      <c r="C40" s="7">
        <v>46159.771182916702</v>
      </c>
      <c r="D40" s="6" t="s">
        <v>307</v>
      </c>
      <c r="E40" s="6">
        <v>0</v>
      </c>
      <c r="F40" s="6">
        <v>200000</v>
      </c>
      <c r="G40" s="6">
        <v>3500</v>
      </c>
      <c r="H40" s="6" t="s">
        <v>495</v>
      </c>
      <c r="I40" s="6" t="s">
        <v>496</v>
      </c>
      <c r="J40" s="6" t="s">
        <v>497</v>
      </c>
      <c r="K40" s="6" t="s">
        <v>498</v>
      </c>
      <c r="L40" s="6" t="s">
        <v>499</v>
      </c>
      <c r="M40" s="6" t="s">
        <v>22</v>
      </c>
    </row>
    <row r="41" spans="1:13" x14ac:dyDescent="0.5">
      <c r="A41" s="6" t="s">
        <v>227</v>
      </c>
      <c r="B41" s="6" t="s">
        <v>15</v>
      </c>
      <c r="C41" s="7">
        <v>46159.771569189797</v>
      </c>
      <c r="D41" s="6" t="s">
        <v>307</v>
      </c>
      <c r="E41" s="6">
        <v>0</v>
      </c>
      <c r="F41" s="6">
        <v>308000</v>
      </c>
      <c r="G41" s="6">
        <v>3300</v>
      </c>
      <c r="H41" s="6" t="s">
        <v>500</v>
      </c>
      <c r="I41" s="6" t="s">
        <v>501</v>
      </c>
      <c r="J41" s="6" t="s">
        <v>502</v>
      </c>
      <c r="K41" s="6" t="s">
        <v>503</v>
      </c>
      <c r="L41" s="6" t="s">
        <v>504</v>
      </c>
      <c r="M41" s="6" t="s">
        <v>22</v>
      </c>
    </row>
    <row r="42" spans="1:13" x14ac:dyDescent="0.5">
      <c r="A42" s="6" t="s">
        <v>227</v>
      </c>
      <c r="B42" s="6" t="s">
        <v>23</v>
      </c>
      <c r="C42" s="7">
        <v>46159.771873449099</v>
      </c>
      <c r="D42" s="6" t="s">
        <v>307</v>
      </c>
      <c r="E42" s="6">
        <v>0</v>
      </c>
      <c r="F42" s="6">
        <v>400000</v>
      </c>
      <c r="G42" s="6">
        <v>3000</v>
      </c>
      <c r="H42" s="6" t="s">
        <v>505</v>
      </c>
      <c r="I42" s="6" t="s">
        <v>506</v>
      </c>
      <c r="J42" s="6" t="s">
        <v>507</v>
      </c>
      <c r="K42" s="6" t="s">
        <v>508</v>
      </c>
      <c r="L42" s="6" t="s">
        <v>509</v>
      </c>
      <c r="M42" s="6" t="s">
        <v>22</v>
      </c>
    </row>
    <row r="43" spans="1:13" x14ac:dyDescent="0.5">
      <c r="A43" s="6" t="s">
        <v>227</v>
      </c>
      <c r="B43" s="6" t="s">
        <v>29</v>
      </c>
      <c r="C43" s="7">
        <v>46159.772274988398</v>
      </c>
      <c r="D43" s="6" t="s">
        <v>307</v>
      </c>
      <c r="E43" s="6">
        <v>0</v>
      </c>
      <c r="F43" s="6">
        <v>400000</v>
      </c>
      <c r="G43" s="6">
        <v>3500</v>
      </c>
      <c r="H43" s="6" t="s">
        <v>510</v>
      </c>
      <c r="I43" s="6" t="s">
        <v>511</v>
      </c>
      <c r="J43" s="6" t="s">
        <v>512</v>
      </c>
      <c r="K43" s="6" t="s">
        <v>513</v>
      </c>
      <c r="L43" s="6" t="s">
        <v>514</v>
      </c>
      <c r="M43" s="6" t="s">
        <v>22</v>
      </c>
    </row>
    <row r="44" spans="1:13" x14ac:dyDescent="0.5">
      <c r="A44" s="6" t="s">
        <v>243</v>
      </c>
      <c r="B44" s="6" t="s">
        <v>15</v>
      </c>
      <c r="C44" s="7">
        <v>46159.772647060199</v>
      </c>
      <c r="D44" s="6" t="s">
        <v>307</v>
      </c>
      <c r="E44" s="6">
        <v>0</v>
      </c>
      <c r="F44" s="6">
        <v>400000</v>
      </c>
      <c r="G44" s="6">
        <v>3300</v>
      </c>
      <c r="H44" s="6" t="s">
        <v>515</v>
      </c>
      <c r="I44" s="6" t="s">
        <v>516</v>
      </c>
      <c r="J44" s="6" t="s">
        <v>517</v>
      </c>
      <c r="K44" s="6" t="s">
        <v>518</v>
      </c>
      <c r="L44" s="6" t="s">
        <v>519</v>
      </c>
      <c r="M44" s="6" t="s">
        <v>22</v>
      </c>
    </row>
    <row r="45" spans="1:13" x14ac:dyDescent="0.5">
      <c r="A45" s="6" t="s">
        <v>243</v>
      </c>
      <c r="B45" s="6" t="s">
        <v>23</v>
      </c>
      <c r="C45" s="7">
        <v>46159.7729608796</v>
      </c>
      <c r="D45" s="6" t="s">
        <v>307</v>
      </c>
      <c r="E45" s="6">
        <v>0</v>
      </c>
      <c r="F45" s="6">
        <v>300000</v>
      </c>
      <c r="G45" s="6">
        <v>3000</v>
      </c>
      <c r="H45" s="6" t="s">
        <v>520</v>
      </c>
      <c r="I45" s="6" t="s">
        <v>521</v>
      </c>
      <c r="J45" s="6" t="s">
        <v>522</v>
      </c>
      <c r="K45" s="6" t="s">
        <v>523</v>
      </c>
      <c r="L45" s="6" t="s">
        <v>524</v>
      </c>
      <c r="M45" s="6" t="s">
        <v>22</v>
      </c>
    </row>
    <row r="46" spans="1:13" x14ac:dyDescent="0.5">
      <c r="A46" s="6" t="s">
        <v>243</v>
      </c>
      <c r="B46" s="6" t="s">
        <v>29</v>
      </c>
      <c r="C46" s="7">
        <v>46159.773234664397</v>
      </c>
      <c r="D46" s="6" t="s">
        <v>307</v>
      </c>
      <c r="E46" s="6">
        <v>0</v>
      </c>
      <c r="F46" s="6">
        <v>300000</v>
      </c>
      <c r="G46" s="6">
        <v>3000</v>
      </c>
      <c r="H46" s="6" t="s">
        <v>525</v>
      </c>
      <c r="I46" s="6" t="s">
        <v>526</v>
      </c>
      <c r="J46" s="6" t="s">
        <v>527</v>
      </c>
      <c r="K46" s="6" t="s">
        <v>528</v>
      </c>
      <c r="L46" s="6" t="s">
        <v>529</v>
      </c>
      <c r="M46" s="6" t="s">
        <v>22</v>
      </c>
    </row>
    <row r="47" spans="1:13" x14ac:dyDescent="0.5">
      <c r="A47" s="6" t="s">
        <v>259</v>
      </c>
      <c r="B47" s="6" t="s">
        <v>15</v>
      </c>
      <c r="C47" s="7">
        <v>46159.773562430601</v>
      </c>
      <c r="D47" s="6" t="s">
        <v>307</v>
      </c>
      <c r="E47" s="6">
        <v>0</v>
      </c>
      <c r="F47" s="6">
        <v>400000</v>
      </c>
      <c r="G47" s="6">
        <v>3300</v>
      </c>
      <c r="H47" s="6" t="s">
        <v>530</v>
      </c>
      <c r="I47" s="6" t="s">
        <v>531</v>
      </c>
      <c r="J47" s="6" t="s">
        <v>532</v>
      </c>
      <c r="K47" s="6" t="s">
        <v>533</v>
      </c>
      <c r="L47" s="6" t="s">
        <v>534</v>
      </c>
      <c r="M47" s="6" t="s">
        <v>22</v>
      </c>
    </row>
    <row r="48" spans="1:13" x14ac:dyDescent="0.5">
      <c r="A48" s="6" t="s">
        <v>259</v>
      </c>
      <c r="B48" s="6" t="s">
        <v>23</v>
      </c>
      <c r="C48" s="7">
        <v>46159.773896527797</v>
      </c>
      <c r="D48" s="6" t="s">
        <v>307</v>
      </c>
      <c r="E48" s="6">
        <v>0</v>
      </c>
      <c r="F48" s="6">
        <v>500000</v>
      </c>
      <c r="G48" s="6">
        <v>3300</v>
      </c>
      <c r="H48" s="6" t="s">
        <v>535</v>
      </c>
      <c r="I48" s="6" t="s">
        <v>536</v>
      </c>
      <c r="J48" s="6" t="s">
        <v>537</v>
      </c>
      <c r="K48" s="6" t="s">
        <v>538</v>
      </c>
      <c r="L48" s="6" t="s">
        <v>539</v>
      </c>
      <c r="M48" s="6" t="s">
        <v>22</v>
      </c>
    </row>
    <row r="49" spans="1:13" x14ac:dyDescent="0.5">
      <c r="A49" s="6" t="s">
        <v>259</v>
      </c>
      <c r="B49" s="6" t="s">
        <v>29</v>
      </c>
      <c r="C49" s="7">
        <v>46159.774216411999</v>
      </c>
      <c r="D49" s="6" t="s">
        <v>307</v>
      </c>
      <c r="E49" s="6">
        <v>0</v>
      </c>
      <c r="F49" s="6">
        <v>400000</v>
      </c>
      <c r="G49" s="6">
        <v>3500</v>
      </c>
      <c r="H49" s="6" t="s">
        <v>540</v>
      </c>
      <c r="I49" s="6" t="s">
        <v>541</v>
      </c>
      <c r="J49" s="6" t="s">
        <v>542</v>
      </c>
      <c r="K49" s="6" t="s">
        <v>543</v>
      </c>
      <c r="L49" s="6" t="s">
        <v>544</v>
      </c>
      <c r="M49" s="6" t="s">
        <v>22</v>
      </c>
    </row>
    <row r="50" spans="1:13" x14ac:dyDescent="0.5">
      <c r="A50" s="6" t="s">
        <v>275</v>
      </c>
      <c r="B50" s="6" t="s">
        <v>15</v>
      </c>
      <c r="C50" s="7">
        <v>46159.774549733796</v>
      </c>
      <c r="D50" s="6" t="s">
        <v>307</v>
      </c>
      <c r="E50" s="6">
        <v>0</v>
      </c>
      <c r="F50" s="6">
        <v>300000</v>
      </c>
      <c r="G50" s="6">
        <v>3000</v>
      </c>
      <c r="H50" s="6" t="s">
        <v>545</v>
      </c>
      <c r="I50" s="6" t="s">
        <v>546</v>
      </c>
      <c r="J50" s="6" t="s">
        <v>547</v>
      </c>
      <c r="K50" s="6" t="s">
        <v>548</v>
      </c>
      <c r="L50" s="6" t="s">
        <v>549</v>
      </c>
      <c r="M50" s="6" t="s">
        <v>22</v>
      </c>
    </row>
    <row r="51" spans="1:13" x14ac:dyDescent="0.5">
      <c r="A51" s="6" t="s">
        <v>275</v>
      </c>
      <c r="B51" s="6" t="s">
        <v>23</v>
      </c>
      <c r="C51" s="7">
        <v>46159.774908911997</v>
      </c>
      <c r="D51" s="6" t="s">
        <v>307</v>
      </c>
      <c r="E51" s="6">
        <v>0</v>
      </c>
      <c r="F51" s="6">
        <v>250000</v>
      </c>
      <c r="G51" s="6">
        <v>3500</v>
      </c>
      <c r="H51" s="6" t="s">
        <v>550</v>
      </c>
      <c r="I51" s="6" t="s">
        <v>551</v>
      </c>
      <c r="J51" s="6" t="s">
        <v>552</v>
      </c>
      <c r="K51" s="6" t="s">
        <v>553</v>
      </c>
      <c r="L51" s="6" t="s">
        <v>554</v>
      </c>
      <c r="M51" s="6" t="s">
        <v>22</v>
      </c>
    </row>
    <row r="52" spans="1:13" x14ac:dyDescent="0.5">
      <c r="A52" s="6" t="s">
        <v>275</v>
      </c>
      <c r="B52" s="6" t="s">
        <v>29</v>
      </c>
      <c r="C52" s="7">
        <v>46159.775252141197</v>
      </c>
      <c r="D52" s="6" t="s">
        <v>307</v>
      </c>
      <c r="E52" s="6">
        <v>0</v>
      </c>
      <c r="F52" s="6">
        <v>300000</v>
      </c>
      <c r="G52" s="6">
        <v>3000</v>
      </c>
      <c r="H52" s="6" t="s">
        <v>545</v>
      </c>
      <c r="I52" s="6" t="s">
        <v>555</v>
      </c>
      <c r="J52" s="6" t="s">
        <v>556</v>
      </c>
      <c r="K52" s="6" t="s">
        <v>557</v>
      </c>
      <c r="L52" s="6" t="s">
        <v>558</v>
      </c>
      <c r="M52" s="6" t="s">
        <v>22</v>
      </c>
    </row>
    <row r="53" spans="1:13" x14ac:dyDescent="0.5">
      <c r="A53" s="6" t="s">
        <v>291</v>
      </c>
      <c r="B53" s="6" t="s">
        <v>15</v>
      </c>
      <c r="C53" s="7">
        <v>46159.775628263902</v>
      </c>
      <c r="D53" s="6" t="s">
        <v>307</v>
      </c>
      <c r="E53" s="6">
        <v>0</v>
      </c>
      <c r="F53" s="6">
        <v>400000</v>
      </c>
      <c r="G53" s="6">
        <v>3300</v>
      </c>
      <c r="H53" s="6" t="s">
        <v>559</v>
      </c>
      <c r="I53" s="6" t="s">
        <v>560</v>
      </c>
      <c r="J53" s="6" t="s">
        <v>561</v>
      </c>
      <c r="K53" s="6" t="s">
        <v>562</v>
      </c>
      <c r="L53" s="6" t="s">
        <v>563</v>
      </c>
      <c r="M53" s="6" t="s">
        <v>22</v>
      </c>
    </row>
    <row r="54" spans="1:13" x14ac:dyDescent="0.5">
      <c r="A54" s="6" t="s">
        <v>291</v>
      </c>
      <c r="B54" s="6" t="s">
        <v>23</v>
      </c>
      <c r="C54" s="7">
        <v>46159.775931979202</v>
      </c>
      <c r="D54" s="6" t="s">
        <v>307</v>
      </c>
      <c r="E54" s="6">
        <v>0</v>
      </c>
      <c r="F54" s="6">
        <v>500000</v>
      </c>
      <c r="G54" s="6">
        <v>3500</v>
      </c>
      <c r="H54" s="6" t="s">
        <v>564</v>
      </c>
      <c r="I54" s="6" t="s">
        <v>565</v>
      </c>
      <c r="J54" s="6" t="s">
        <v>566</v>
      </c>
      <c r="K54" s="6" t="s">
        <v>567</v>
      </c>
      <c r="L54" s="6" t="s">
        <v>568</v>
      </c>
      <c r="M54" s="6" t="s">
        <v>22</v>
      </c>
    </row>
    <row r="55" spans="1:13" x14ac:dyDescent="0.5">
      <c r="A55" s="6" t="s">
        <v>291</v>
      </c>
      <c r="B55" s="6" t="s">
        <v>29</v>
      </c>
      <c r="C55" s="7">
        <v>46159.776284988402</v>
      </c>
      <c r="D55" s="6" t="s">
        <v>307</v>
      </c>
      <c r="E55" s="6">
        <v>0</v>
      </c>
      <c r="F55" s="6">
        <v>400000</v>
      </c>
      <c r="G55" s="6">
        <v>3000</v>
      </c>
      <c r="H55" s="6" t="s">
        <v>569</v>
      </c>
      <c r="I55" s="6" t="s">
        <v>570</v>
      </c>
      <c r="J55" s="6" t="s">
        <v>571</v>
      </c>
      <c r="K55" s="6" t="s">
        <v>572</v>
      </c>
      <c r="L55" s="6" t="s">
        <v>573</v>
      </c>
      <c r="M55" s="6" t="s">
        <v>22</v>
      </c>
    </row>
  </sheetData>
  <pageMargins left="0.7" right="0.7" top="0.78749999999999998" bottom="0.78749999999999998"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5"/>
  <sheetViews>
    <sheetView topLeftCell="A28" zoomScaleNormal="100" workbookViewId="0">
      <selection activeCell="C49" sqref="C49"/>
    </sheetView>
  </sheetViews>
  <sheetFormatPr baseColWidth="10" defaultColWidth="10.52734375" defaultRowHeight="14.35" x14ac:dyDescent="0.5"/>
  <cols>
    <col min="1" max="1" width="9.87890625" style="6" customWidth="1"/>
    <col min="2" max="2" width="9.703125" style="6" customWidth="1"/>
    <col min="3" max="3" width="14.703125" style="6" customWidth="1"/>
    <col min="4" max="4" width="15.5859375" style="6" customWidth="1"/>
    <col min="5" max="5" width="13.41015625" style="6" customWidth="1"/>
    <col min="6" max="6" width="28.76171875" style="6" customWidth="1"/>
    <col min="7" max="7" width="35.29296875" style="6" customWidth="1"/>
    <col min="8" max="12" width="60.703125" style="6" customWidth="1"/>
    <col min="13" max="13" width="8.1171875" style="6" customWidth="1"/>
    <col min="14" max="14" width="8" style="6" customWidth="1"/>
    <col min="15" max="16384" width="10.52734375" style="6"/>
  </cols>
  <sheetData>
    <row r="1" spans="1:14" x14ac:dyDescent="0.5">
      <c r="A1" s="6" t="s">
        <v>0</v>
      </c>
      <c r="B1" s="6" t="s">
        <v>1</v>
      </c>
      <c r="C1" s="6" t="s">
        <v>2</v>
      </c>
      <c r="D1" s="6" t="s">
        <v>3</v>
      </c>
      <c r="E1" s="6" t="s">
        <v>4</v>
      </c>
      <c r="F1" s="6" t="s">
        <v>5</v>
      </c>
      <c r="G1" s="6" t="s">
        <v>6</v>
      </c>
      <c r="H1" s="6" t="s">
        <v>7</v>
      </c>
      <c r="I1" s="6" t="s">
        <v>8</v>
      </c>
      <c r="J1" s="6" t="s">
        <v>9</v>
      </c>
      <c r="K1" s="6" t="s">
        <v>10</v>
      </c>
      <c r="L1" s="6" t="s">
        <v>11</v>
      </c>
      <c r="M1" s="6" t="s">
        <v>12</v>
      </c>
      <c r="N1" s="6" t="s">
        <v>13</v>
      </c>
    </row>
    <row r="2" spans="1:14" x14ac:dyDescent="0.5">
      <c r="A2" s="6" t="s">
        <v>14</v>
      </c>
      <c r="B2" s="6" t="s">
        <v>15</v>
      </c>
      <c r="C2" s="7">
        <v>46159.625060127299</v>
      </c>
      <c r="D2" s="6" t="s">
        <v>574</v>
      </c>
      <c r="E2" s="6">
        <v>0</v>
      </c>
      <c r="F2" s="6">
        <v>50000</v>
      </c>
      <c r="G2" s="6">
        <v>500</v>
      </c>
      <c r="H2" s="6" t="s">
        <v>575</v>
      </c>
      <c r="I2" s="6" t="s">
        <v>576</v>
      </c>
      <c r="J2" s="6" t="s">
        <v>577</v>
      </c>
      <c r="K2" s="6" t="s">
        <v>578</v>
      </c>
      <c r="L2" s="6" t="s">
        <v>579</v>
      </c>
      <c r="M2" s="6" t="s">
        <v>22</v>
      </c>
    </row>
    <row r="3" spans="1:14" x14ac:dyDescent="0.5">
      <c r="A3" s="6" t="s">
        <v>14</v>
      </c>
      <c r="B3" s="6" t="s">
        <v>23</v>
      </c>
      <c r="C3" s="7">
        <v>46159.625170544001</v>
      </c>
      <c r="D3" s="6" t="s">
        <v>574</v>
      </c>
      <c r="E3" s="6">
        <v>0</v>
      </c>
      <c r="F3" s="6">
        <v>50000</v>
      </c>
      <c r="G3" s="6">
        <v>900</v>
      </c>
      <c r="H3" s="6" t="s">
        <v>580</v>
      </c>
      <c r="I3" s="6" t="s">
        <v>581</v>
      </c>
      <c r="J3" s="6" t="s">
        <v>582</v>
      </c>
      <c r="K3" s="6" t="s">
        <v>583</v>
      </c>
      <c r="L3" s="6" t="s">
        <v>584</v>
      </c>
      <c r="M3" s="6" t="s">
        <v>22</v>
      </c>
    </row>
    <row r="4" spans="1:14" x14ac:dyDescent="0.5">
      <c r="A4" s="6" t="s">
        <v>14</v>
      </c>
      <c r="B4" s="6" t="s">
        <v>29</v>
      </c>
      <c r="C4" s="7">
        <v>46159.625278819498</v>
      </c>
      <c r="D4" s="6" t="s">
        <v>574</v>
      </c>
      <c r="E4" s="6">
        <v>0</v>
      </c>
      <c r="F4" s="6">
        <v>50000</v>
      </c>
      <c r="G4" s="6">
        <v>900</v>
      </c>
      <c r="H4" s="6" t="s">
        <v>575</v>
      </c>
      <c r="I4" s="6" t="s">
        <v>585</v>
      </c>
      <c r="J4" s="6" t="s">
        <v>586</v>
      </c>
      <c r="K4" s="6" t="s">
        <v>587</v>
      </c>
      <c r="L4" s="6" t="s">
        <v>588</v>
      </c>
      <c r="M4" s="6" t="s">
        <v>22</v>
      </c>
    </row>
    <row r="5" spans="1:14" x14ac:dyDescent="0.5">
      <c r="A5" s="6" t="s">
        <v>35</v>
      </c>
      <c r="B5" s="6" t="s">
        <v>15</v>
      </c>
      <c r="C5" s="7">
        <v>46159.625354768497</v>
      </c>
      <c r="D5" s="6" t="s">
        <v>574</v>
      </c>
      <c r="E5" s="6">
        <v>0</v>
      </c>
      <c r="F5" s="6">
        <v>50000</v>
      </c>
      <c r="G5" s="6">
        <v>900</v>
      </c>
      <c r="H5" s="6" t="s">
        <v>589</v>
      </c>
      <c r="I5" s="6" t="s">
        <v>590</v>
      </c>
      <c r="J5" s="6" t="s">
        <v>591</v>
      </c>
      <c r="K5" s="6" t="s">
        <v>592</v>
      </c>
      <c r="L5" s="6" t="s">
        <v>593</v>
      </c>
      <c r="M5" s="6" t="s">
        <v>22</v>
      </c>
    </row>
    <row r="6" spans="1:14" x14ac:dyDescent="0.5">
      <c r="A6" s="6" t="s">
        <v>35</v>
      </c>
      <c r="B6" s="6" t="s">
        <v>23</v>
      </c>
      <c r="C6" s="7">
        <v>46159.625428784697</v>
      </c>
      <c r="D6" s="6" t="s">
        <v>574</v>
      </c>
      <c r="E6" s="6">
        <v>0</v>
      </c>
      <c r="F6" s="6">
        <v>100000</v>
      </c>
      <c r="G6" s="6">
        <v>900</v>
      </c>
      <c r="H6" s="6" t="s">
        <v>594</v>
      </c>
      <c r="I6" s="6" t="s">
        <v>595</v>
      </c>
      <c r="J6" s="6" t="s">
        <v>596</v>
      </c>
      <c r="K6" s="6" t="s">
        <v>597</v>
      </c>
      <c r="L6" s="6" t="s">
        <v>598</v>
      </c>
      <c r="M6" s="6" t="s">
        <v>22</v>
      </c>
    </row>
    <row r="7" spans="1:14" x14ac:dyDescent="0.5">
      <c r="A7" s="6" t="s">
        <v>35</v>
      </c>
      <c r="B7" s="6" t="s">
        <v>29</v>
      </c>
      <c r="C7" s="7">
        <v>46159.625529386598</v>
      </c>
      <c r="D7" s="6" t="s">
        <v>574</v>
      </c>
      <c r="E7" s="6">
        <v>0</v>
      </c>
      <c r="F7" s="6">
        <v>50000</v>
      </c>
      <c r="G7" s="6">
        <v>1000</v>
      </c>
      <c r="H7" s="6" t="s">
        <v>589</v>
      </c>
      <c r="I7" s="6" t="s">
        <v>599</v>
      </c>
      <c r="J7" s="6" t="s">
        <v>600</v>
      </c>
      <c r="K7" s="6" t="s">
        <v>601</v>
      </c>
      <c r="L7" s="6" t="s">
        <v>602</v>
      </c>
      <c r="M7" s="6" t="s">
        <v>22</v>
      </c>
    </row>
    <row r="8" spans="1:14" x14ac:dyDescent="0.5">
      <c r="A8" s="6" t="s">
        <v>51</v>
      </c>
      <c r="B8" s="6" t="s">
        <v>15</v>
      </c>
      <c r="C8" s="7">
        <v>46159.6256088542</v>
      </c>
      <c r="D8" s="6" t="s">
        <v>574</v>
      </c>
      <c r="E8" s="6">
        <v>0</v>
      </c>
      <c r="F8" s="6">
        <v>50000</v>
      </c>
      <c r="G8" s="6">
        <v>900</v>
      </c>
      <c r="H8" s="6" t="s">
        <v>603</v>
      </c>
      <c r="I8" s="6" t="s">
        <v>604</v>
      </c>
      <c r="J8" s="6" t="s">
        <v>605</v>
      </c>
      <c r="K8" s="6" t="s">
        <v>606</v>
      </c>
      <c r="L8" s="6" t="s">
        <v>607</v>
      </c>
      <c r="M8" s="6" t="s">
        <v>22</v>
      </c>
    </row>
    <row r="9" spans="1:14" x14ac:dyDescent="0.5">
      <c r="A9" s="6" t="s">
        <v>51</v>
      </c>
      <c r="B9" s="6" t="s">
        <v>23</v>
      </c>
      <c r="C9" s="7">
        <v>46159.625663564802</v>
      </c>
      <c r="D9" s="6" t="s">
        <v>574</v>
      </c>
      <c r="E9" s="6">
        <v>0</v>
      </c>
      <c r="F9" s="6">
        <v>50000</v>
      </c>
      <c r="G9" s="6">
        <v>900</v>
      </c>
      <c r="H9" s="6" t="s">
        <v>608</v>
      </c>
      <c r="I9" s="6" t="s">
        <v>609</v>
      </c>
      <c r="J9" s="6" t="s">
        <v>610</v>
      </c>
      <c r="K9" s="6" t="s">
        <v>611</v>
      </c>
      <c r="L9" s="6" t="s">
        <v>612</v>
      </c>
      <c r="M9" s="6" t="s">
        <v>22</v>
      </c>
    </row>
    <row r="10" spans="1:14" x14ac:dyDescent="0.5">
      <c r="A10" s="6" t="s">
        <v>51</v>
      </c>
      <c r="B10" s="6" t="s">
        <v>29</v>
      </c>
      <c r="C10" s="7">
        <v>46159.625751006897</v>
      </c>
      <c r="D10" s="6" t="s">
        <v>574</v>
      </c>
      <c r="E10" s="6">
        <v>0</v>
      </c>
      <c r="F10" s="6">
        <v>50000</v>
      </c>
      <c r="G10" s="6">
        <v>900</v>
      </c>
      <c r="H10" s="6" t="s">
        <v>603</v>
      </c>
      <c r="I10" s="6" t="s">
        <v>613</v>
      </c>
      <c r="J10" s="6" t="s">
        <v>614</v>
      </c>
      <c r="K10" s="6" t="s">
        <v>615</v>
      </c>
      <c r="L10" s="6" t="s">
        <v>616</v>
      </c>
      <c r="M10" s="6" t="s">
        <v>22</v>
      </c>
    </row>
    <row r="11" spans="1:14" x14ac:dyDescent="0.5">
      <c r="A11" s="6" t="s">
        <v>67</v>
      </c>
      <c r="B11" s="6" t="s">
        <v>15</v>
      </c>
      <c r="C11" s="7">
        <v>46159.625807870398</v>
      </c>
      <c r="D11" s="6" t="s">
        <v>574</v>
      </c>
      <c r="E11" s="6">
        <v>0</v>
      </c>
      <c r="F11" s="6">
        <v>100000</v>
      </c>
      <c r="G11" s="6">
        <v>900</v>
      </c>
      <c r="H11" s="6" t="s">
        <v>617</v>
      </c>
      <c r="I11" s="6" t="s">
        <v>618</v>
      </c>
      <c r="J11" s="6" t="s">
        <v>619</v>
      </c>
      <c r="K11" s="6" t="s">
        <v>620</v>
      </c>
      <c r="L11" s="6" t="s">
        <v>621</v>
      </c>
      <c r="M11" s="6" t="s">
        <v>22</v>
      </c>
    </row>
    <row r="12" spans="1:14" x14ac:dyDescent="0.5">
      <c r="A12" s="6" t="s">
        <v>67</v>
      </c>
      <c r="B12" s="6" t="s">
        <v>23</v>
      </c>
      <c r="C12" s="7">
        <v>46159.625857118102</v>
      </c>
      <c r="D12" s="6" t="s">
        <v>574</v>
      </c>
      <c r="E12" s="6">
        <v>0</v>
      </c>
      <c r="F12" s="6">
        <v>100000</v>
      </c>
      <c r="G12" s="6">
        <v>900</v>
      </c>
      <c r="H12" s="6" t="s">
        <v>622</v>
      </c>
      <c r="I12" s="6" t="s">
        <v>623</v>
      </c>
      <c r="J12" s="6" t="s">
        <v>624</v>
      </c>
      <c r="K12" s="6" t="s">
        <v>625</v>
      </c>
      <c r="L12" s="6" t="s">
        <v>626</v>
      </c>
      <c r="M12" s="6" t="s">
        <v>22</v>
      </c>
    </row>
    <row r="13" spans="1:14" x14ac:dyDescent="0.5">
      <c r="A13" s="6" t="s">
        <v>67</v>
      </c>
      <c r="B13" s="6" t="s">
        <v>29</v>
      </c>
      <c r="C13" s="7">
        <v>46159.6259112732</v>
      </c>
      <c r="D13" s="6" t="s">
        <v>574</v>
      </c>
      <c r="E13" s="6">
        <v>0</v>
      </c>
      <c r="F13" s="6">
        <v>150000</v>
      </c>
      <c r="G13" s="6">
        <v>1200</v>
      </c>
      <c r="H13" s="6" t="s">
        <v>617</v>
      </c>
      <c r="I13" s="6" t="s">
        <v>627</v>
      </c>
      <c r="J13" s="6" t="s">
        <v>628</v>
      </c>
      <c r="K13" s="6" t="s">
        <v>629</v>
      </c>
      <c r="L13" s="6" t="s">
        <v>630</v>
      </c>
      <c r="M13" s="6" t="s">
        <v>22</v>
      </c>
    </row>
    <row r="14" spans="1:14" x14ac:dyDescent="0.5">
      <c r="A14" s="6" t="s">
        <v>83</v>
      </c>
      <c r="B14" s="6" t="s">
        <v>15</v>
      </c>
      <c r="C14" s="7">
        <v>46159.625961620397</v>
      </c>
      <c r="D14" s="6" t="s">
        <v>574</v>
      </c>
      <c r="E14" s="6">
        <v>0</v>
      </c>
      <c r="F14" s="6">
        <v>50000</v>
      </c>
      <c r="G14" s="6">
        <v>900</v>
      </c>
      <c r="H14" s="6" t="s">
        <v>631</v>
      </c>
      <c r="I14" s="6" t="s">
        <v>632</v>
      </c>
      <c r="J14" s="6" t="s">
        <v>633</v>
      </c>
      <c r="K14" s="6" t="s">
        <v>634</v>
      </c>
      <c r="L14" s="6" t="s">
        <v>635</v>
      </c>
      <c r="M14" s="6" t="s">
        <v>22</v>
      </c>
    </row>
    <row r="15" spans="1:14" x14ac:dyDescent="0.5">
      <c r="A15" s="6" t="s">
        <v>83</v>
      </c>
      <c r="B15" s="6" t="s">
        <v>23</v>
      </c>
      <c r="C15" s="7">
        <v>46159.626013125002</v>
      </c>
      <c r="D15" s="6" t="s">
        <v>574</v>
      </c>
      <c r="E15" s="6">
        <v>0</v>
      </c>
      <c r="F15" s="6">
        <v>50000</v>
      </c>
      <c r="G15" s="6">
        <v>900</v>
      </c>
      <c r="H15" s="6" t="s">
        <v>636</v>
      </c>
      <c r="I15" s="6" t="s">
        <v>637</v>
      </c>
      <c r="J15" s="6" t="s">
        <v>638</v>
      </c>
      <c r="K15" s="6" t="s">
        <v>639</v>
      </c>
      <c r="L15" s="6" t="s">
        <v>640</v>
      </c>
      <c r="M15" s="6" t="s">
        <v>22</v>
      </c>
    </row>
    <row r="16" spans="1:14" x14ac:dyDescent="0.5">
      <c r="A16" s="6" t="s">
        <v>83</v>
      </c>
      <c r="B16" s="6" t="s">
        <v>29</v>
      </c>
      <c r="C16" s="7">
        <v>46159.626081087998</v>
      </c>
      <c r="D16" s="6" t="s">
        <v>574</v>
      </c>
      <c r="E16" s="6">
        <v>0</v>
      </c>
      <c r="F16" s="6">
        <v>100000</v>
      </c>
      <c r="G16" s="6">
        <v>900</v>
      </c>
      <c r="H16" s="6" t="s">
        <v>631</v>
      </c>
      <c r="I16" s="6" t="s">
        <v>641</v>
      </c>
      <c r="J16" s="6" t="s">
        <v>642</v>
      </c>
      <c r="K16" s="6" t="s">
        <v>643</v>
      </c>
      <c r="L16" s="6" t="s">
        <v>644</v>
      </c>
      <c r="M16" s="6" t="s">
        <v>22</v>
      </c>
    </row>
    <row r="17" spans="1:13" x14ac:dyDescent="0.5">
      <c r="A17" s="6" t="s">
        <v>99</v>
      </c>
      <c r="B17" s="6" t="s">
        <v>15</v>
      </c>
      <c r="C17" s="7">
        <v>46159.6261356713</v>
      </c>
      <c r="D17" s="6" t="s">
        <v>574</v>
      </c>
      <c r="E17" s="6">
        <v>0</v>
      </c>
      <c r="F17" s="6">
        <v>100000</v>
      </c>
      <c r="G17" s="6">
        <v>1200</v>
      </c>
      <c r="H17" s="6" t="s">
        <v>645</v>
      </c>
      <c r="I17" s="6" t="s">
        <v>646</v>
      </c>
      <c r="J17" s="6" t="s">
        <v>647</v>
      </c>
      <c r="K17" s="6" t="s">
        <v>648</v>
      </c>
      <c r="L17" s="6" t="s">
        <v>649</v>
      </c>
      <c r="M17" s="6" t="s">
        <v>22</v>
      </c>
    </row>
    <row r="18" spans="1:13" x14ac:dyDescent="0.5">
      <c r="A18" s="6" t="s">
        <v>99</v>
      </c>
      <c r="B18" s="6" t="s">
        <v>23</v>
      </c>
      <c r="C18" s="7">
        <v>46159.626208205998</v>
      </c>
      <c r="D18" s="6" t="s">
        <v>574</v>
      </c>
      <c r="E18" s="6">
        <v>0</v>
      </c>
      <c r="F18" s="6">
        <v>150000</v>
      </c>
      <c r="G18" s="6">
        <v>900</v>
      </c>
      <c r="H18" s="6" t="s">
        <v>650</v>
      </c>
      <c r="I18" s="6" t="s">
        <v>651</v>
      </c>
      <c r="J18" s="6" t="s">
        <v>652</v>
      </c>
      <c r="K18" s="6" t="s">
        <v>653</v>
      </c>
      <c r="L18" s="6" t="s">
        <v>654</v>
      </c>
      <c r="M18" s="6" t="s">
        <v>22</v>
      </c>
    </row>
    <row r="19" spans="1:13" x14ac:dyDescent="0.5">
      <c r="A19" s="6" t="s">
        <v>99</v>
      </c>
      <c r="B19" s="6" t="s">
        <v>29</v>
      </c>
      <c r="C19" s="7">
        <v>46159.626259780103</v>
      </c>
      <c r="D19" s="6" t="s">
        <v>574</v>
      </c>
      <c r="E19" s="6">
        <v>0</v>
      </c>
      <c r="F19" s="6">
        <v>150000</v>
      </c>
      <c r="G19" s="6">
        <v>1200</v>
      </c>
      <c r="H19" s="6" t="s">
        <v>645</v>
      </c>
      <c r="I19" s="6" t="s">
        <v>655</v>
      </c>
      <c r="J19" s="6" t="s">
        <v>656</v>
      </c>
      <c r="K19" s="6" t="s">
        <v>657</v>
      </c>
      <c r="L19" s="6" t="s">
        <v>658</v>
      </c>
      <c r="M19" s="6" t="s">
        <v>22</v>
      </c>
    </row>
    <row r="20" spans="1:13" x14ac:dyDescent="0.5">
      <c r="A20" s="6" t="s">
        <v>115</v>
      </c>
      <c r="B20" s="6" t="s">
        <v>15</v>
      </c>
      <c r="C20" s="7">
        <v>46159.626317453702</v>
      </c>
      <c r="D20" s="6" t="s">
        <v>574</v>
      </c>
      <c r="E20" s="6">
        <v>0</v>
      </c>
      <c r="F20" s="6">
        <v>50000</v>
      </c>
      <c r="G20" s="6">
        <v>1000</v>
      </c>
      <c r="H20" s="6" t="s">
        <v>659</v>
      </c>
      <c r="I20" s="6" t="s">
        <v>660</v>
      </c>
      <c r="J20" s="6" t="s">
        <v>661</v>
      </c>
      <c r="K20" s="6" t="s">
        <v>662</v>
      </c>
      <c r="L20" s="6" t="s">
        <v>663</v>
      </c>
      <c r="M20" s="6" t="s">
        <v>22</v>
      </c>
    </row>
    <row r="21" spans="1:13" x14ac:dyDescent="0.5">
      <c r="A21" s="6" t="s">
        <v>115</v>
      </c>
      <c r="B21" s="6" t="s">
        <v>23</v>
      </c>
      <c r="C21" s="7">
        <v>46159.626365752301</v>
      </c>
      <c r="D21" s="6" t="s">
        <v>574</v>
      </c>
      <c r="E21" s="6">
        <v>0</v>
      </c>
      <c r="F21" s="6">
        <v>50000</v>
      </c>
      <c r="G21" s="6">
        <v>1000</v>
      </c>
      <c r="H21" s="6" t="s">
        <v>664</v>
      </c>
      <c r="I21" s="6" t="s">
        <v>665</v>
      </c>
      <c r="J21" s="6" t="s">
        <v>666</v>
      </c>
      <c r="K21" s="6" t="s">
        <v>667</v>
      </c>
      <c r="L21" s="6" t="s">
        <v>668</v>
      </c>
      <c r="M21" s="6" t="s">
        <v>22</v>
      </c>
    </row>
    <row r="22" spans="1:13" x14ac:dyDescent="0.5">
      <c r="A22" s="6" t="s">
        <v>115</v>
      </c>
      <c r="B22" s="6" t="s">
        <v>29</v>
      </c>
      <c r="C22" s="7">
        <v>46159.626415173603</v>
      </c>
      <c r="D22" s="6" t="s">
        <v>574</v>
      </c>
      <c r="E22" s="6">
        <v>0</v>
      </c>
      <c r="F22" s="6">
        <v>100000</v>
      </c>
      <c r="G22" s="6">
        <v>1500</v>
      </c>
      <c r="H22" s="6" t="s">
        <v>659</v>
      </c>
      <c r="I22" s="6" t="s">
        <v>669</v>
      </c>
      <c r="J22" s="6" t="s">
        <v>670</v>
      </c>
      <c r="K22" s="6" t="s">
        <v>671</v>
      </c>
      <c r="L22" s="6" t="s">
        <v>672</v>
      </c>
      <c r="M22" s="6" t="s">
        <v>22</v>
      </c>
    </row>
    <row r="23" spans="1:13" x14ac:dyDescent="0.5">
      <c r="A23" s="6" t="s">
        <v>131</v>
      </c>
      <c r="B23" s="6" t="s">
        <v>15</v>
      </c>
      <c r="C23" s="7">
        <v>46159.6264755093</v>
      </c>
      <c r="D23" s="6" t="s">
        <v>574</v>
      </c>
      <c r="E23" s="6">
        <v>0</v>
      </c>
      <c r="F23" s="6">
        <v>100000</v>
      </c>
      <c r="G23" s="6">
        <v>1500</v>
      </c>
      <c r="H23" s="6" t="s">
        <v>673</v>
      </c>
      <c r="I23" s="6" t="s">
        <v>674</v>
      </c>
      <c r="J23" s="6" t="s">
        <v>675</v>
      </c>
      <c r="K23" s="6" t="s">
        <v>676</v>
      </c>
      <c r="L23" s="6" t="s">
        <v>677</v>
      </c>
      <c r="M23" s="6" t="s">
        <v>22</v>
      </c>
    </row>
    <row r="24" spans="1:13" x14ac:dyDescent="0.5">
      <c r="A24" s="6" t="s">
        <v>131</v>
      </c>
      <c r="B24" s="6" t="s">
        <v>23</v>
      </c>
      <c r="C24" s="7">
        <v>46159.6266127778</v>
      </c>
      <c r="D24" s="6" t="s">
        <v>574</v>
      </c>
      <c r="E24" s="6">
        <v>0</v>
      </c>
      <c r="F24" s="6">
        <v>150000</v>
      </c>
      <c r="G24" s="6">
        <v>1500</v>
      </c>
      <c r="H24" s="6" t="s">
        <v>678</v>
      </c>
      <c r="I24" s="6" t="s">
        <v>679</v>
      </c>
      <c r="J24" s="6" t="s">
        <v>680</v>
      </c>
      <c r="K24" s="6" t="s">
        <v>681</v>
      </c>
      <c r="L24" s="6" t="s">
        <v>682</v>
      </c>
      <c r="M24" s="6" t="s">
        <v>22</v>
      </c>
    </row>
    <row r="25" spans="1:13" x14ac:dyDescent="0.5">
      <c r="A25" s="6" t="s">
        <v>131</v>
      </c>
      <c r="B25" s="6" t="s">
        <v>29</v>
      </c>
      <c r="C25" s="7">
        <v>46159.626667326404</v>
      </c>
      <c r="D25" s="6" t="s">
        <v>574</v>
      </c>
      <c r="E25" s="6">
        <v>0</v>
      </c>
      <c r="F25" s="6">
        <v>150000</v>
      </c>
      <c r="G25" s="6">
        <v>1500</v>
      </c>
      <c r="H25" s="6" t="s">
        <v>673</v>
      </c>
      <c r="I25" s="6" t="s">
        <v>683</v>
      </c>
      <c r="J25" s="6" t="s">
        <v>684</v>
      </c>
      <c r="K25" s="6" t="s">
        <v>685</v>
      </c>
      <c r="L25" s="6" t="s">
        <v>686</v>
      </c>
      <c r="M25" s="6" t="s">
        <v>22</v>
      </c>
    </row>
    <row r="26" spans="1:13" x14ac:dyDescent="0.5">
      <c r="A26" s="6" t="s">
        <v>147</v>
      </c>
      <c r="B26" s="6" t="s">
        <v>15</v>
      </c>
      <c r="C26" s="7">
        <v>46159.626718310203</v>
      </c>
      <c r="D26" s="6" t="s">
        <v>574</v>
      </c>
      <c r="E26" s="6">
        <v>0</v>
      </c>
      <c r="F26" s="6">
        <v>100000</v>
      </c>
      <c r="G26" s="6">
        <v>1500</v>
      </c>
      <c r="H26" s="6" t="s">
        <v>687</v>
      </c>
      <c r="I26" s="6" t="s">
        <v>688</v>
      </c>
      <c r="J26" s="6" t="s">
        <v>689</v>
      </c>
      <c r="K26" s="6" t="s">
        <v>690</v>
      </c>
      <c r="L26" s="6" t="s">
        <v>691</v>
      </c>
      <c r="M26" s="6" t="s">
        <v>22</v>
      </c>
    </row>
    <row r="27" spans="1:13" x14ac:dyDescent="0.5">
      <c r="A27" s="6" t="s">
        <v>147</v>
      </c>
      <c r="B27" s="6" t="s">
        <v>23</v>
      </c>
      <c r="C27" s="7">
        <v>46159.626784050903</v>
      </c>
      <c r="D27" s="6" t="s">
        <v>574</v>
      </c>
      <c r="E27" s="6">
        <v>0</v>
      </c>
      <c r="F27" s="6">
        <v>100000</v>
      </c>
      <c r="G27" s="6">
        <v>1500</v>
      </c>
      <c r="H27" s="6" t="s">
        <v>692</v>
      </c>
      <c r="I27" s="6" t="s">
        <v>693</v>
      </c>
      <c r="J27" s="6" t="s">
        <v>694</v>
      </c>
      <c r="K27" s="6" t="s">
        <v>695</v>
      </c>
      <c r="L27" s="6" t="s">
        <v>696</v>
      </c>
      <c r="M27" s="6" t="s">
        <v>22</v>
      </c>
    </row>
    <row r="28" spans="1:13" x14ac:dyDescent="0.5">
      <c r="A28" s="6" t="s">
        <v>147</v>
      </c>
      <c r="B28" s="6" t="s">
        <v>29</v>
      </c>
      <c r="C28" s="7">
        <v>46159.626834479197</v>
      </c>
      <c r="D28" s="6" t="s">
        <v>574</v>
      </c>
      <c r="E28" s="6">
        <v>0</v>
      </c>
      <c r="F28" s="6">
        <v>100000</v>
      </c>
      <c r="G28" s="6">
        <v>1500</v>
      </c>
      <c r="H28" s="6" t="s">
        <v>687</v>
      </c>
      <c r="I28" s="6" t="s">
        <v>697</v>
      </c>
      <c r="J28" s="6" t="s">
        <v>698</v>
      </c>
      <c r="K28" s="6" t="s">
        <v>699</v>
      </c>
      <c r="L28" s="6" t="s">
        <v>700</v>
      </c>
      <c r="M28" s="6" t="s">
        <v>22</v>
      </c>
    </row>
    <row r="29" spans="1:13" x14ac:dyDescent="0.5">
      <c r="A29" s="6" t="s">
        <v>163</v>
      </c>
      <c r="B29" s="6" t="s">
        <v>15</v>
      </c>
      <c r="C29" s="7">
        <v>46159.6269280903</v>
      </c>
      <c r="D29" s="6" t="s">
        <v>574</v>
      </c>
      <c r="E29" s="6">
        <v>0</v>
      </c>
      <c r="F29" s="6">
        <v>150000</v>
      </c>
      <c r="G29" s="6">
        <v>1500</v>
      </c>
      <c r="H29" s="6" t="s">
        <v>701</v>
      </c>
      <c r="I29" s="6" t="s">
        <v>702</v>
      </c>
      <c r="J29" s="6" t="s">
        <v>703</v>
      </c>
      <c r="K29" s="6" t="s">
        <v>704</v>
      </c>
      <c r="L29" s="6" t="s">
        <v>705</v>
      </c>
      <c r="M29" s="6" t="s">
        <v>22</v>
      </c>
    </row>
    <row r="30" spans="1:13" x14ac:dyDescent="0.5">
      <c r="A30" s="6" t="s">
        <v>163</v>
      </c>
      <c r="B30" s="6" t="s">
        <v>23</v>
      </c>
      <c r="C30" s="7">
        <v>46159.626984849499</v>
      </c>
      <c r="D30" s="6" t="s">
        <v>574</v>
      </c>
      <c r="E30" s="6">
        <v>0</v>
      </c>
      <c r="F30" s="6">
        <v>150000</v>
      </c>
      <c r="G30" s="6">
        <v>1500</v>
      </c>
      <c r="H30" s="6" t="s">
        <v>706</v>
      </c>
      <c r="I30" s="6" t="s">
        <v>707</v>
      </c>
      <c r="J30" s="6" t="s">
        <v>708</v>
      </c>
      <c r="K30" s="6" t="s">
        <v>709</v>
      </c>
      <c r="L30" s="6" t="s">
        <v>710</v>
      </c>
      <c r="M30" s="6" t="s">
        <v>22</v>
      </c>
    </row>
    <row r="31" spans="1:13" x14ac:dyDescent="0.5">
      <c r="A31" s="6" t="s">
        <v>163</v>
      </c>
      <c r="B31" s="6" t="s">
        <v>29</v>
      </c>
      <c r="C31" s="7">
        <v>46159.627029444498</v>
      </c>
      <c r="D31" s="6" t="s">
        <v>574</v>
      </c>
      <c r="E31" s="6">
        <v>0</v>
      </c>
      <c r="F31" s="6">
        <v>150000</v>
      </c>
      <c r="G31" s="6">
        <v>2000</v>
      </c>
      <c r="H31" s="6" t="s">
        <v>701</v>
      </c>
      <c r="I31" s="6" t="s">
        <v>711</v>
      </c>
      <c r="J31" s="6" t="s">
        <v>712</v>
      </c>
      <c r="K31" s="6" t="s">
        <v>713</v>
      </c>
      <c r="L31" s="6" t="s">
        <v>714</v>
      </c>
      <c r="M31" s="6" t="s">
        <v>22</v>
      </c>
    </row>
    <row r="32" spans="1:13" x14ac:dyDescent="0.5">
      <c r="A32" s="6" t="s">
        <v>179</v>
      </c>
      <c r="B32" s="6" t="s">
        <v>15</v>
      </c>
      <c r="C32" s="7">
        <v>46159.627089490699</v>
      </c>
      <c r="D32" s="6" t="s">
        <v>574</v>
      </c>
      <c r="E32" s="6">
        <v>0</v>
      </c>
      <c r="F32" s="6">
        <v>100000</v>
      </c>
      <c r="G32" s="6">
        <v>1500</v>
      </c>
      <c r="H32" s="6" t="s">
        <v>715</v>
      </c>
      <c r="I32" s="6" t="s">
        <v>716</v>
      </c>
      <c r="J32" s="6" t="s">
        <v>717</v>
      </c>
      <c r="K32" s="6" t="s">
        <v>718</v>
      </c>
      <c r="L32" s="6" t="s">
        <v>719</v>
      </c>
      <c r="M32" s="6" t="s">
        <v>22</v>
      </c>
    </row>
    <row r="33" spans="1:13" x14ac:dyDescent="0.5">
      <c r="A33" s="6" t="s">
        <v>179</v>
      </c>
      <c r="B33" s="6" t="s">
        <v>23</v>
      </c>
      <c r="C33" s="7">
        <v>46159.627148634303</v>
      </c>
      <c r="D33" s="6" t="s">
        <v>574</v>
      </c>
      <c r="E33" s="6">
        <v>0</v>
      </c>
      <c r="F33" s="6">
        <v>100000</v>
      </c>
      <c r="G33" s="6">
        <v>1500</v>
      </c>
      <c r="H33" s="6" t="s">
        <v>720</v>
      </c>
      <c r="I33" s="6" t="s">
        <v>721</v>
      </c>
      <c r="J33" s="6" t="s">
        <v>722</v>
      </c>
      <c r="K33" s="6" t="s">
        <v>671</v>
      </c>
      <c r="L33" s="6" t="s">
        <v>723</v>
      </c>
      <c r="M33" s="6" t="s">
        <v>22</v>
      </c>
    </row>
    <row r="34" spans="1:13" x14ac:dyDescent="0.5">
      <c r="A34" s="6" t="s">
        <v>179</v>
      </c>
      <c r="B34" s="6" t="s">
        <v>29</v>
      </c>
      <c r="C34" s="7">
        <v>46159.627201018498</v>
      </c>
      <c r="D34" s="6" t="s">
        <v>574</v>
      </c>
      <c r="E34" s="6">
        <v>0</v>
      </c>
      <c r="F34" s="6">
        <v>150000</v>
      </c>
      <c r="G34" s="6">
        <v>1500</v>
      </c>
      <c r="H34" s="6" t="s">
        <v>715</v>
      </c>
      <c r="I34" s="6" t="s">
        <v>724</v>
      </c>
      <c r="J34" s="6" t="s">
        <v>725</v>
      </c>
      <c r="K34" s="6" t="s">
        <v>726</v>
      </c>
      <c r="L34" s="6" t="s">
        <v>727</v>
      </c>
      <c r="M34" s="6" t="s">
        <v>22</v>
      </c>
    </row>
    <row r="35" spans="1:13" x14ac:dyDescent="0.5">
      <c r="A35" s="6" t="s">
        <v>195</v>
      </c>
      <c r="B35" s="6" t="s">
        <v>15</v>
      </c>
      <c r="C35" s="7">
        <v>46159.627246898199</v>
      </c>
      <c r="D35" s="6" t="s">
        <v>574</v>
      </c>
      <c r="E35" s="6">
        <v>0</v>
      </c>
      <c r="F35" s="6">
        <v>150000</v>
      </c>
      <c r="G35" s="6">
        <v>2000</v>
      </c>
      <c r="H35" s="6" t="s">
        <v>728</v>
      </c>
      <c r="I35" s="6" t="s">
        <v>729</v>
      </c>
      <c r="J35" s="6" t="s">
        <v>730</v>
      </c>
      <c r="K35" s="6" t="s">
        <v>731</v>
      </c>
      <c r="L35" s="6" t="s">
        <v>732</v>
      </c>
      <c r="M35" s="6" t="s">
        <v>22</v>
      </c>
    </row>
    <row r="36" spans="1:13" x14ac:dyDescent="0.5">
      <c r="A36" s="6" t="s">
        <v>195</v>
      </c>
      <c r="B36" s="6" t="s">
        <v>23</v>
      </c>
      <c r="C36" s="7">
        <v>46159.627295879603</v>
      </c>
      <c r="D36" s="6" t="s">
        <v>574</v>
      </c>
      <c r="E36" s="6">
        <v>0</v>
      </c>
      <c r="F36" s="6">
        <v>150000</v>
      </c>
      <c r="G36" s="6">
        <v>1500</v>
      </c>
      <c r="H36" s="6" t="s">
        <v>733</v>
      </c>
      <c r="I36" s="6" t="s">
        <v>734</v>
      </c>
      <c r="J36" s="6" t="s">
        <v>735</v>
      </c>
      <c r="K36" s="6" t="s">
        <v>736</v>
      </c>
      <c r="L36" s="6" t="s">
        <v>737</v>
      </c>
      <c r="M36" s="6" t="s">
        <v>22</v>
      </c>
    </row>
    <row r="37" spans="1:13" x14ac:dyDescent="0.5">
      <c r="A37" s="6" t="s">
        <v>195</v>
      </c>
      <c r="B37" s="6" t="s">
        <v>29</v>
      </c>
      <c r="C37" s="7">
        <v>46159.627347731497</v>
      </c>
      <c r="D37" s="6" t="s">
        <v>574</v>
      </c>
      <c r="E37" s="6">
        <v>0</v>
      </c>
      <c r="F37" s="6">
        <v>150000</v>
      </c>
      <c r="G37" s="6">
        <v>2000</v>
      </c>
      <c r="H37" s="6" t="s">
        <v>728</v>
      </c>
      <c r="I37" s="6" t="s">
        <v>738</v>
      </c>
      <c r="J37" s="6" t="s">
        <v>739</v>
      </c>
      <c r="K37" s="6" t="s">
        <v>740</v>
      </c>
      <c r="L37" s="6" t="s">
        <v>741</v>
      </c>
      <c r="M37" s="6" t="s">
        <v>22</v>
      </c>
    </row>
    <row r="38" spans="1:13" x14ac:dyDescent="0.5">
      <c r="A38" s="6" t="s">
        <v>211</v>
      </c>
      <c r="B38" s="6" t="s">
        <v>15</v>
      </c>
      <c r="C38" s="7">
        <v>46159.6274035764</v>
      </c>
      <c r="D38" s="6" t="s">
        <v>574</v>
      </c>
      <c r="E38" s="6">
        <v>0</v>
      </c>
      <c r="F38" s="6">
        <v>100000</v>
      </c>
      <c r="G38" s="6">
        <v>1500</v>
      </c>
      <c r="H38" s="6" t="s">
        <v>742</v>
      </c>
      <c r="I38" s="6" t="s">
        <v>743</v>
      </c>
      <c r="J38" s="6" t="s">
        <v>744</v>
      </c>
      <c r="K38" s="6" t="s">
        <v>745</v>
      </c>
      <c r="L38" s="6" t="s">
        <v>746</v>
      </c>
      <c r="M38" s="6" t="s">
        <v>22</v>
      </c>
    </row>
    <row r="39" spans="1:13" x14ac:dyDescent="0.5">
      <c r="A39" s="6" t="s">
        <v>211</v>
      </c>
      <c r="B39" s="6" t="s">
        <v>23</v>
      </c>
      <c r="C39" s="7">
        <v>46159.627460150499</v>
      </c>
      <c r="D39" s="6" t="s">
        <v>574</v>
      </c>
      <c r="E39" s="6">
        <v>0</v>
      </c>
      <c r="F39" s="6">
        <v>150000</v>
      </c>
      <c r="G39" s="6">
        <v>2000</v>
      </c>
      <c r="H39" s="6" t="s">
        <v>747</v>
      </c>
      <c r="I39" s="6" t="s">
        <v>748</v>
      </c>
      <c r="J39" s="6" t="s">
        <v>749</v>
      </c>
      <c r="K39" s="6" t="s">
        <v>750</v>
      </c>
      <c r="L39" s="6" t="s">
        <v>751</v>
      </c>
      <c r="M39" s="6" t="s">
        <v>22</v>
      </c>
    </row>
    <row r="40" spans="1:13" x14ac:dyDescent="0.5">
      <c r="A40" s="6" t="s">
        <v>211</v>
      </c>
      <c r="B40" s="6" t="s">
        <v>29</v>
      </c>
      <c r="C40" s="7">
        <v>46159.627516099499</v>
      </c>
      <c r="D40" s="6" t="s">
        <v>574</v>
      </c>
      <c r="E40" s="6">
        <v>0</v>
      </c>
      <c r="F40" s="6">
        <v>150000</v>
      </c>
      <c r="G40" s="6">
        <v>2000</v>
      </c>
      <c r="H40" s="6" t="s">
        <v>742</v>
      </c>
      <c r="I40" s="6" t="s">
        <v>752</v>
      </c>
      <c r="J40" s="6" t="s">
        <v>753</v>
      </c>
      <c r="K40" s="6" t="s">
        <v>754</v>
      </c>
      <c r="L40" s="6" t="s">
        <v>755</v>
      </c>
      <c r="M40" s="6" t="s">
        <v>22</v>
      </c>
    </row>
    <row r="41" spans="1:13" x14ac:dyDescent="0.5">
      <c r="A41" s="6" t="s">
        <v>227</v>
      </c>
      <c r="B41" s="6" t="s">
        <v>15</v>
      </c>
      <c r="C41" s="7">
        <v>46159.627575023202</v>
      </c>
      <c r="D41" s="6" t="s">
        <v>574</v>
      </c>
      <c r="E41" s="6">
        <v>0</v>
      </c>
      <c r="F41" s="6">
        <v>150000</v>
      </c>
      <c r="G41" s="6">
        <v>2000</v>
      </c>
      <c r="H41" s="6" t="s">
        <v>756</v>
      </c>
      <c r="I41" s="6" t="s">
        <v>757</v>
      </c>
      <c r="J41" s="6" t="s">
        <v>758</v>
      </c>
      <c r="K41" s="6" t="s">
        <v>759</v>
      </c>
      <c r="L41" s="6" t="s">
        <v>760</v>
      </c>
      <c r="M41" s="6" t="s">
        <v>22</v>
      </c>
    </row>
    <row r="42" spans="1:13" x14ac:dyDescent="0.5">
      <c r="A42" s="6" t="s">
        <v>227</v>
      </c>
      <c r="B42" s="6" t="s">
        <v>23</v>
      </c>
      <c r="C42" s="7">
        <v>46159.627629270799</v>
      </c>
      <c r="D42" s="6" t="s">
        <v>574</v>
      </c>
      <c r="E42" s="6">
        <v>0</v>
      </c>
      <c r="F42" s="6">
        <v>150000</v>
      </c>
      <c r="G42" s="6">
        <v>2500</v>
      </c>
      <c r="H42" s="6" t="s">
        <v>761</v>
      </c>
      <c r="I42" s="6" t="s">
        <v>762</v>
      </c>
      <c r="J42" s="6" t="s">
        <v>763</v>
      </c>
      <c r="K42" s="6" t="s">
        <v>764</v>
      </c>
      <c r="L42" s="6" t="s">
        <v>765</v>
      </c>
      <c r="M42" s="6" t="s">
        <v>22</v>
      </c>
    </row>
    <row r="43" spans="1:13" x14ac:dyDescent="0.5">
      <c r="A43" s="6" t="s">
        <v>227</v>
      </c>
      <c r="B43" s="6" t="s">
        <v>29</v>
      </c>
      <c r="C43" s="7">
        <v>46159.627682662001</v>
      </c>
      <c r="D43" s="6" t="s">
        <v>574</v>
      </c>
      <c r="E43" s="6">
        <v>0</v>
      </c>
      <c r="F43" s="6">
        <v>150000</v>
      </c>
      <c r="G43" s="6">
        <v>2000</v>
      </c>
      <c r="H43" s="6" t="s">
        <v>756</v>
      </c>
      <c r="I43" s="6" t="s">
        <v>766</v>
      </c>
      <c r="J43" s="6" t="s">
        <v>767</v>
      </c>
      <c r="K43" s="6" t="s">
        <v>768</v>
      </c>
      <c r="L43" s="6" t="s">
        <v>769</v>
      </c>
      <c r="M43" s="6" t="s">
        <v>22</v>
      </c>
    </row>
    <row r="44" spans="1:13" x14ac:dyDescent="0.5">
      <c r="A44" s="6" t="s">
        <v>243</v>
      </c>
      <c r="B44" s="6" t="s">
        <v>15</v>
      </c>
      <c r="C44" s="7">
        <v>46159.627743425903</v>
      </c>
      <c r="D44" s="6" t="s">
        <v>574</v>
      </c>
      <c r="E44" s="6">
        <v>0</v>
      </c>
      <c r="F44" s="6">
        <v>150000</v>
      </c>
      <c r="G44" s="6">
        <v>2000</v>
      </c>
      <c r="H44" s="6" t="s">
        <v>770</v>
      </c>
      <c r="I44" s="6" t="s">
        <v>771</v>
      </c>
      <c r="J44" s="6" t="s">
        <v>772</v>
      </c>
      <c r="K44" s="6" t="s">
        <v>773</v>
      </c>
      <c r="L44" s="6" t="s">
        <v>774</v>
      </c>
      <c r="M44" s="6" t="s">
        <v>22</v>
      </c>
    </row>
    <row r="45" spans="1:13" x14ac:dyDescent="0.5">
      <c r="A45" s="6" t="s">
        <v>243</v>
      </c>
      <c r="B45" s="6" t="s">
        <v>23</v>
      </c>
      <c r="C45" s="7">
        <v>46159.627796006898</v>
      </c>
      <c r="D45" s="6" t="s">
        <v>574</v>
      </c>
      <c r="E45" s="6">
        <v>0</v>
      </c>
      <c r="F45" s="6">
        <v>150000</v>
      </c>
      <c r="G45" s="6">
        <v>2000</v>
      </c>
      <c r="H45" s="6" t="s">
        <v>775</v>
      </c>
      <c r="I45" s="6" t="s">
        <v>776</v>
      </c>
      <c r="J45" s="6" t="s">
        <v>777</v>
      </c>
      <c r="K45" s="6" t="s">
        <v>778</v>
      </c>
      <c r="L45" s="6" t="s">
        <v>779</v>
      </c>
      <c r="M45" s="6" t="s">
        <v>22</v>
      </c>
    </row>
    <row r="46" spans="1:13" x14ac:dyDescent="0.5">
      <c r="A46" s="6" t="s">
        <v>243</v>
      </c>
      <c r="B46" s="6" t="s">
        <v>29</v>
      </c>
      <c r="C46" s="7">
        <v>46159.627858425898</v>
      </c>
      <c r="D46" s="6" t="s">
        <v>574</v>
      </c>
      <c r="E46" s="6">
        <v>0</v>
      </c>
      <c r="F46" s="6">
        <v>150000</v>
      </c>
      <c r="G46" s="6">
        <v>2000</v>
      </c>
      <c r="H46" s="6" t="s">
        <v>770</v>
      </c>
      <c r="I46" s="6" t="s">
        <v>780</v>
      </c>
      <c r="J46" s="6" t="s">
        <v>781</v>
      </c>
      <c r="K46" s="6" t="s">
        <v>782</v>
      </c>
      <c r="L46" s="6" t="s">
        <v>783</v>
      </c>
      <c r="M46" s="6" t="s">
        <v>22</v>
      </c>
    </row>
    <row r="47" spans="1:13" x14ac:dyDescent="0.5">
      <c r="A47" s="6" t="s">
        <v>259</v>
      </c>
      <c r="B47" s="6" t="s">
        <v>15</v>
      </c>
      <c r="C47" s="7">
        <v>46159.627921747699</v>
      </c>
      <c r="D47" s="6" t="s">
        <v>574</v>
      </c>
      <c r="E47" s="6">
        <v>0</v>
      </c>
      <c r="F47" s="6">
        <v>150000</v>
      </c>
      <c r="G47" s="6">
        <v>2500</v>
      </c>
      <c r="H47" s="6" t="s">
        <v>784</v>
      </c>
      <c r="I47" s="6" t="s">
        <v>785</v>
      </c>
      <c r="J47" s="6" t="s">
        <v>786</v>
      </c>
      <c r="K47" s="6" t="s">
        <v>787</v>
      </c>
      <c r="L47" s="6" t="s">
        <v>788</v>
      </c>
      <c r="M47" s="6" t="s">
        <v>22</v>
      </c>
    </row>
    <row r="48" spans="1:13" x14ac:dyDescent="0.5">
      <c r="A48" s="6" t="s">
        <v>259</v>
      </c>
      <c r="B48" s="6" t="s">
        <v>23</v>
      </c>
      <c r="C48" s="7">
        <v>46159.627991330999</v>
      </c>
      <c r="D48" s="6" t="s">
        <v>574</v>
      </c>
      <c r="E48" s="6">
        <v>0</v>
      </c>
      <c r="F48" s="6">
        <v>150000</v>
      </c>
      <c r="G48" s="6">
        <v>2500</v>
      </c>
      <c r="H48" s="6" t="s">
        <v>789</v>
      </c>
      <c r="I48" s="6" t="s">
        <v>790</v>
      </c>
      <c r="J48" s="6" t="s">
        <v>791</v>
      </c>
      <c r="K48" s="6" t="s">
        <v>792</v>
      </c>
      <c r="L48" s="6" t="s">
        <v>793</v>
      </c>
      <c r="M48" s="6" t="s">
        <v>22</v>
      </c>
    </row>
    <row r="49" spans="1:13" x14ac:dyDescent="0.5">
      <c r="A49" s="6" t="s">
        <v>259</v>
      </c>
      <c r="B49" s="6" t="s">
        <v>29</v>
      </c>
      <c r="C49" s="7">
        <v>46159.628038738403</v>
      </c>
      <c r="D49" s="6" t="s">
        <v>574</v>
      </c>
      <c r="E49" s="6">
        <v>0</v>
      </c>
      <c r="F49" s="6">
        <v>250000</v>
      </c>
      <c r="G49" s="6">
        <v>3000</v>
      </c>
      <c r="H49" s="6" t="s">
        <v>784</v>
      </c>
      <c r="I49" s="6" t="s">
        <v>794</v>
      </c>
      <c r="J49" s="6" t="s">
        <v>795</v>
      </c>
      <c r="K49" s="6" t="s">
        <v>796</v>
      </c>
      <c r="L49" s="6" t="s">
        <v>797</v>
      </c>
      <c r="M49" s="6" t="s">
        <v>22</v>
      </c>
    </row>
    <row r="50" spans="1:13" x14ac:dyDescent="0.5">
      <c r="A50" s="6" t="s">
        <v>275</v>
      </c>
      <c r="B50" s="6" t="s">
        <v>15</v>
      </c>
      <c r="C50" s="7">
        <v>46159.628092175903</v>
      </c>
      <c r="D50" s="6" t="s">
        <v>574</v>
      </c>
      <c r="E50" s="6">
        <v>0</v>
      </c>
      <c r="F50" s="6">
        <v>150000</v>
      </c>
      <c r="G50" s="6">
        <v>2000</v>
      </c>
      <c r="H50" s="6" t="s">
        <v>798</v>
      </c>
      <c r="I50" s="6" t="s">
        <v>799</v>
      </c>
      <c r="J50" s="6" t="s">
        <v>800</v>
      </c>
      <c r="K50" s="6" t="s">
        <v>801</v>
      </c>
      <c r="L50" s="6" t="s">
        <v>802</v>
      </c>
      <c r="M50" s="6" t="s">
        <v>22</v>
      </c>
    </row>
    <row r="51" spans="1:13" x14ac:dyDescent="0.5">
      <c r="A51" s="6" t="s">
        <v>275</v>
      </c>
      <c r="B51" s="6" t="s">
        <v>23</v>
      </c>
      <c r="C51" s="7">
        <v>46159.628145891198</v>
      </c>
      <c r="D51" s="6" t="s">
        <v>574</v>
      </c>
      <c r="E51" s="6">
        <v>0</v>
      </c>
      <c r="F51" s="6">
        <v>150000</v>
      </c>
      <c r="G51" s="6">
        <v>2000</v>
      </c>
      <c r="H51" s="6" t="s">
        <v>803</v>
      </c>
      <c r="I51" s="6" t="s">
        <v>804</v>
      </c>
      <c r="J51" s="6" t="s">
        <v>805</v>
      </c>
      <c r="K51" s="6" t="s">
        <v>806</v>
      </c>
      <c r="L51" s="6" t="s">
        <v>807</v>
      </c>
      <c r="M51" s="6" t="s">
        <v>22</v>
      </c>
    </row>
    <row r="52" spans="1:13" x14ac:dyDescent="0.5">
      <c r="A52" s="6" t="s">
        <v>275</v>
      </c>
      <c r="B52" s="6" t="s">
        <v>29</v>
      </c>
      <c r="C52" s="7">
        <v>46159.628194583303</v>
      </c>
      <c r="D52" s="6" t="s">
        <v>574</v>
      </c>
      <c r="E52" s="6">
        <v>0</v>
      </c>
      <c r="F52" s="6">
        <v>150000</v>
      </c>
      <c r="G52" s="6">
        <v>2500</v>
      </c>
      <c r="H52" s="6" t="s">
        <v>798</v>
      </c>
      <c r="I52" s="6" t="s">
        <v>808</v>
      </c>
      <c r="J52" s="6" t="s">
        <v>809</v>
      </c>
      <c r="K52" s="6" t="s">
        <v>810</v>
      </c>
      <c r="L52" s="6" t="s">
        <v>811</v>
      </c>
      <c r="M52" s="6" t="s">
        <v>22</v>
      </c>
    </row>
    <row r="53" spans="1:13" x14ac:dyDescent="0.5">
      <c r="A53" s="6" t="s">
        <v>291</v>
      </c>
      <c r="B53" s="6" t="s">
        <v>15</v>
      </c>
      <c r="C53" s="7">
        <v>46159.628242708299</v>
      </c>
      <c r="D53" s="6" t="s">
        <v>574</v>
      </c>
      <c r="E53" s="6">
        <v>0</v>
      </c>
      <c r="F53" s="6">
        <v>150000</v>
      </c>
      <c r="G53" s="6">
        <v>3000</v>
      </c>
      <c r="H53" s="6" t="s">
        <v>812</v>
      </c>
      <c r="I53" s="6" t="s">
        <v>813</v>
      </c>
      <c r="J53" s="6" t="s">
        <v>814</v>
      </c>
      <c r="K53" s="6" t="s">
        <v>815</v>
      </c>
      <c r="L53" s="6" t="s">
        <v>816</v>
      </c>
      <c r="M53" s="6" t="s">
        <v>22</v>
      </c>
    </row>
    <row r="54" spans="1:13" x14ac:dyDescent="0.5">
      <c r="A54" s="6" t="s">
        <v>291</v>
      </c>
      <c r="B54" s="6" t="s">
        <v>23</v>
      </c>
      <c r="C54" s="7">
        <v>46159.628288287</v>
      </c>
      <c r="D54" s="6" t="s">
        <v>574</v>
      </c>
      <c r="E54" s="6">
        <v>0</v>
      </c>
      <c r="F54" s="6">
        <v>150000</v>
      </c>
      <c r="G54" s="6">
        <v>2500</v>
      </c>
      <c r="H54" s="6" t="s">
        <v>817</v>
      </c>
      <c r="I54" s="6" t="s">
        <v>818</v>
      </c>
      <c r="J54" s="6" t="s">
        <v>819</v>
      </c>
      <c r="K54" s="6" t="s">
        <v>820</v>
      </c>
      <c r="L54" s="6" t="s">
        <v>821</v>
      </c>
      <c r="M54" s="6" t="s">
        <v>22</v>
      </c>
    </row>
    <row r="55" spans="1:13" x14ac:dyDescent="0.5">
      <c r="A55" s="6" t="s">
        <v>291</v>
      </c>
      <c r="B55" s="6" t="s">
        <v>29</v>
      </c>
      <c r="C55" s="7">
        <v>46159.628351134299</v>
      </c>
      <c r="D55" s="6" t="s">
        <v>574</v>
      </c>
      <c r="E55" s="6">
        <v>0</v>
      </c>
      <c r="F55" s="6">
        <v>300000</v>
      </c>
      <c r="G55" s="6">
        <v>2500</v>
      </c>
      <c r="H55" s="6" t="s">
        <v>812</v>
      </c>
      <c r="I55" s="6" t="s">
        <v>822</v>
      </c>
      <c r="J55" s="6" t="s">
        <v>823</v>
      </c>
      <c r="K55" s="6" t="s">
        <v>824</v>
      </c>
      <c r="L55" s="6" t="s">
        <v>825</v>
      </c>
      <c r="M55" s="6" t="s">
        <v>22</v>
      </c>
    </row>
  </sheetData>
  <pageMargins left="0.7" right="0.7" top="0.78749999999999998" bottom="0.78749999999999998"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9"/>
  <sheetViews>
    <sheetView tabSelected="1" zoomScale="85" zoomScaleNormal="85" workbookViewId="0"/>
  </sheetViews>
  <sheetFormatPr baseColWidth="10" defaultColWidth="10.52734375" defaultRowHeight="14.35" x14ac:dyDescent="0.5"/>
  <cols>
    <col min="1" max="1" width="10" customWidth="1"/>
    <col min="2" max="2" width="8" customWidth="1"/>
    <col min="3" max="3" width="11" customWidth="1"/>
    <col min="4" max="6" width="10" customWidth="1"/>
    <col min="7" max="7" width="12.05859375" customWidth="1"/>
    <col min="8" max="8" width="13.64453125" customWidth="1"/>
    <col min="9" max="9" width="8" customWidth="1"/>
    <col min="10" max="10" width="12" customWidth="1"/>
  </cols>
  <sheetData>
    <row r="1" spans="1:10" x14ac:dyDescent="0.5">
      <c r="A1" s="8" t="s">
        <v>826</v>
      </c>
      <c r="B1" s="8" t="s">
        <v>827</v>
      </c>
      <c r="C1" s="8" t="s">
        <v>828</v>
      </c>
      <c r="D1" s="8" t="s">
        <v>15</v>
      </c>
      <c r="E1" s="8" t="s">
        <v>23</v>
      </c>
      <c r="F1" s="8" t="s">
        <v>29</v>
      </c>
      <c r="G1" s="8" t="s">
        <v>829</v>
      </c>
      <c r="H1" s="8" t="s">
        <v>830</v>
      </c>
      <c r="I1" s="8" t="s">
        <v>831</v>
      </c>
      <c r="J1" s="8" t="s">
        <v>832</v>
      </c>
    </row>
    <row r="2" spans="1:10" x14ac:dyDescent="0.5">
      <c r="A2" s="1" t="s">
        <v>833</v>
      </c>
      <c r="B2" s="1" t="s">
        <v>14</v>
      </c>
      <c r="C2" s="1" t="s">
        <v>834</v>
      </c>
      <c r="D2" s="3" cm="1">
        <f t="array" ref="D2">SUMPRODUCT(('rohdaten_claude'!$A$2:$A$55=$B2)*('rohdaten_claude'!$B$2:$B$55=D$1)*IF($C2="B1",'rohdaten_claude'!$F$2:$F$55,'rohdaten_claude'!$G$2:$G$55))</f>
        <v>54000</v>
      </c>
      <c r="E2" s="3" cm="1">
        <f t="array" ref="E2">SUMPRODUCT(('rohdaten_claude'!$A$2:$A$55=$B2)*('rohdaten_claude'!$B$2:$B$55=E$1)*IF($C2="B1",'rohdaten_claude'!$F$2:$F$55,'rohdaten_claude'!$G$2:$G$55))</f>
        <v>50000</v>
      </c>
      <c r="F2" s="3" cm="1">
        <f t="array" ref="F2">SUMPRODUCT(('rohdaten_claude'!$A$2:$A$55=$B2)*('rohdaten_claude'!$B$2:$B$55=F$1)*IF($C2="B1",'rohdaten_claude'!$F$2:$F$55,'rohdaten_claude'!$G$2:$G$55))</f>
        <v>50000</v>
      </c>
      <c r="G2" s="2">
        <f t="shared" ref="G2:G33" si="0">AVERAGE(D2:F2)</f>
        <v>51333.333333333336</v>
      </c>
      <c r="H2" s="3">
        <f t="shared" ref="H2:H33" si="1">MAX(D2:F2)-MIN(D2:F2)</f>
        <v>4000</v>
      </c>
      <c r="I2" s="4">
        <f t="shared" ref="I2:I33" si="2">IF(G2=0,0,STDEV(D2:F2)/G2)</f>
        <v>4.4988332664126676E-2</v>
      </c>
      <c r="J2" s="5" t="str">
        <f t="shared" ref="J2:J33" si="3">IF(I2&gt;0.05,"JA","nein")</f>
        <v>nein</v>
      </c>
    </row>
    <row r="3" spans="1:10" x14ac:dyDescent="0.5">
      <c r="A3" s="1" t="s">
        <v>833</v>
      </c>
      <c r="B3" s="1" t="s">
        <v>14</v>
      </c>
      <c r="C3" s="1" t="s">
        <v>835</v>
      </c>
      <c r="D3" s="3" cm="1">
        <f t="array" ref="D3">SUMPRODUCT(('rohdaten_claude'!$A$2:$A$55=$B3)*('rohdaten_claude'!$B$2:$B$55=D$1)*IF($C3="B1",'rohdaten_claude'!$F$2:$F$55,'rohdaten_claude'!$G$2:$G$55))</f>
        <v>600</v>
      </c>
      <c r="E3" s="3" cm="1">
        <f t="array" ref="E3">SUMPRODUCT(('rohdaten_claude'!$A$2:$A$55=$B3)*('rohdaten_claude'!$B$2:$B$55=E$1)*IF($C3="B1",'rohdaten_claude'!$F$2:$F$55,'rohdaten_claude'!$G$2:$G$55))</f>
        <v>600</v>
      </c>
      <c r="F3" s="3" cm="1">
        <f t="array" ref="F3">SUMPRODUCT(('rohdaten_claude'!$A$2:$A$55=$B3)*('rohdaten_claude'!$B$2:$B$55=F$1)*IF($C3="B1",'rohdaten_claude'!$F$2:$F$55,'rohdaten_claude'!$G$2:$G$55))</f>
        <v>600</v>
      </c>
      <c r="G3" s="2">
        <f t="shared" si="0"/>
        <v>600</v>
      </c>
      <c r="H3" s="3">
        <f t="shared" si="1"/>
        <v>0</v>
      </c>
      <c r="I3" s="4">
        <f t="shared" si="2"/>
        <v>0</v>
      </c>
      <c r="J3" s="5" t="str">
        <f t="shared" si="3"/>
        <v>nein</v>
      </c>
    </row>
    <row r="4" spans="1:10" x14ac:dyDescent="0.5">
      <c r="A4" s="1" t="s">
        <v>833</v>
      </c>
      <c r="B4" s="1" t="s">
        <v>35</v>
      </c>
      <c r="C4" s="1" t="s">
        <v>834</v>
      </c>
      <c r="D4" s="3" cm="1">
        <f t="array" ref="D4">SUMPRODUCT(('rohdaten_claude'!$A$2:$A$55=$B4)*('rohdaten_claude'!$B$2:$B$55=D$1)*IF($C4="B1",'rohdaten_claude'!$F$2:$F$55,'rohdaten_claude'!$G$2:$G$55))</f>
        <v>80000</v>
      </c>
      <c r="E4" s="3" cm="1">
        <f t="array" ref="E4">SUMPRODUCT(('rohdaten_claude'!$A$2:$A$55=$B4)*('rohdaten_claude'!$B$2:$B$55=E$1)*IF($C4="B1",'rohdaten_claude'!$F$2:$F$55,'rohdaten_claude'!$G$2:$G$55))</f>
        <v>80000</v>
      </c>
      <c r="F4" s="3" cm="1">
        <f t="array" ref="F4">SUMPRODUCT(('rohdaten_claude'!$A$2:$A$55=$B4)*('rohdaten_claude'!$B$2:$B$55=F$1)*IF($C4="B1",'rohdaten_claude'!$F$2:$F$55,'rohdaten_claude'!$G$2:$G$55))</f>
        <v>80000</v>
      </c>
      <c r="G4" s="2">
        <f t="shared" si="0"/>
        <v>80000</v>
      </c>
      <c r="H4" s="3">
        <f t="shared" si="1"/>
        <v>0</v>
      </c>
      <c r="I4" s="4">
        <f t="shared" si="2"/>
        <v>0</v>
      </c>
      <c r="J4" s="5" t="str">
        <f t="shared" si="3"/>
        <v>nein</v>
      </c>
    </row>
    <row r="5" spans="1:10" x14ac:dyDescent="0.5">
      <c r="A5" s="1" t="s">
        <v>833</v>
      </c>
      <c r="B5" s="1" t="s">
        <v>35</v>
      </c>
      <c r="C5" s="1" t="s">
        <v>835</v>
      </c>
      <c r="D5" s="3" cm="1">
        <f t="array" ref="D5">SUMPRODUCT(('rohdaten_claude'!$A$2:$A$55=$B5)*('rohdaten_claude'!$B$2:$B$55=D$1)*IF($C5="B1",'rohdaten_claude'!$F$2:$F$55,'rohdaten_claude'!$G$2:$G$55))</f>
        <v>700</v>
      </c>
      <c r="E5" s="3" cm="1">
        <f t="array" ref="E5">SUMPRODUCT(('rohdaten_claude'!$A$2:$A$55=$B5)*('rohdaten_claude'!$B$2:$B$55=E$1)*IF($C5="B1",'rohdaten_claude'!$F$2:$F$55,'rohdaten_claude'!$G$2:$G$55))</f>
        <v>700</v>
      </c>
      <c r="F5" s="3" cm="1">
        <f t="array" ref="F5">SUMPRODUCT(('rohdaten_claude'!$A$2:$A$55=$B5)*('rohdaten_claude'!$B$2:$B$55=F$1)*IF($C5="B1",'rohdaten_claude'!$F$2:$F$55,'rohdaten_claude'!$G$2:$G$55))</f>
        <v>700</v>
      </c>
      <c r="G5" s="2">
        <f t="shared" si="0"/>
        <v>700</v>
      </c>
      <c r="H5" s="3">
        <f t="shared" si="1"/>
        <v>0</v>
      </c>
      <c r="I5" s="4">
        <f t="shared" si="2"/>
        <v>0</v>
      </c>
      <c r="J5" s="5" t="str">
        <f>IF(I5&gt;0.05,"JA","nein")</f>
        <v>nein</v>
      </c>
    </row>
    <row r="6" spans="1:10" x14ac:dyDescent="0.5">
      <c r="A6" s="1" t="s">
        <v>833</v>
      </c>
      <c r="B6" s="1" t="s">
        <v>51</v>
      </c>
      <c r="C6" s="1" t="s">
        <v>834</v>
      </c>
      <c r="D6" s="3" cm="1">
        <f t="array" ref="D6">SUMPRODUCT(('rohdaten_claude'!$A$2:$A$55=$B6)*('rohdaten_claude'!$B$2:$B$55=D$1)*IF($C6="B1",'rohdaten_claude'!$F$2:$F$55,'rohdaten_claude'!$G$2:$G$55))</f>
        <v>80000</v>
      </c>
      <c r="E6" s="3" cm="1">
        <f t="array" ref="E6">SUMPRODUCT(('rohdaten_claude'!$A$2:$A$55=$B6)*('rohdaten_claude'!$B$2:$B$55=E$1)*IF($C6="B1",'rohdaten_claude'!$F$2:$F$55,'rohdaten_claude'!$G$2:$G$55))</f>
        <v>50000</v>
      </c>
      <c r="F6" s="3" cm="1">
        <f t="array" ref="F6">SUMPRODUCT(('rohdaten_claude'!$A$2:$A$55=$B6)*('rohdaten_claude'!$B$2:$B$55=F$1)*IF($C6="B1",'rohdaten_claude'!$F$2:$F$55,'rohdaten_claude'!$G$2:$G$55))</f>
        <v>80000</v>
      </c>
      <c r="G6" s="2">
        <f t="shared" si="0"/>
        <v>70000</v>
      </c>
      <c r="H6" s="3">
        <f t="shared" si="1"/>
        <v>30000</v>
      </c>
      <c r="I6" s="4">
        <f t="shared" si="2"/>
        <v>0.24743582965269675</v>
      </c>
      <c r="J6" s="5" t="str">
        <f t="shared" si="3"/>
        <v>JA</v>
      </c>
    </row>
    <row r="7" spans="1:10" x14ac:dyDescent="0.5">
      <c r="A7" s="1" t="s">
        <v>833</v>
      </c>
      <c r="B7" s="1" t="s">
        <v>51</v>
      </c>
      <c r="C7" s="1" t="s">
        <v>835</v>
      </c>
      <c r="D7" s="3" cm="1">
        <f t="array" ref="D7">SUMPRODUCT(('rohdaten_claude'!$A$2:$A$55=$B7)*('rohdaten_claude'!$B$2:$B$55=D$1)*IF($C7="B1",'rohdaten_claude'!$F$2:$F$55,'rohdaten_claude'!$G$2:$G$55))</f>
        <v>700</v>
      </c>
      <c r="E7" s="3" cm="1">
        <f t="array" ref="E7">SUMPRODUCT(('rohdaten_claude'!$A$2:$A$55=$B7)*('rohdaten_claude'!$B$2:$B$55=E$1)*IF($C7="B1",'rohdaten_claude'!$F$2:$F$55,'rohdaten_claude'!$G$2:$G$55))</f>
        <v>700</v>
      </c>
      <c r="F7" s="3" cm="1">
        <f t="array" ref="F7">SUMPRODUCT(('rohdaten_claude'!$A$2:$A$55=$B7)*('rohdaten_claude'!$B$2:$B$55=F$1)*IF($C7="B1",'rohdaten_claude'!$F$2:$F$55,'rohdaten_claude'!$G$2:$G$55))</f>
        <v>700</v>
      </c>
      <c r="G7" s="2">
        <f t="shared" si="0"/>
        <v>700</v>
      </c>
      <c r="H7" s="3">
        <f t="shared" si="1"/>
        <v>0</v>
      </c>
      <c r="I7" s="4">
        <f t="shared" si="2"/>
        <v>0</v>
      </c>
      <c r="J7" s="5" t="str">
        <f t="shared" si="3"/>
        <v>nein</v>
      </c>
    </row>
    <row r="8" spans="1:10" x14ac:dyDescent="0.5">
      <c r="A8" s="1" t="s">
        <v>833</v>
      </c>
      <c r="B8" s="1" t="s">
        <v>67</v>
      </c>
      <c r="C8" s="1" t="s">
        <v>834</v>
      </c>
      <c r="D8" s="3" cm="1">
        <f t="array" ref="D8">SUMPRODUCT(('rohdaten_claude'!$A$2:$A$55=$B8)*('rohdaten_claude'!$B$2:$B$55=D$1)*IF($C8="B1",'rohdaten_claude'!$F$2:$F$55,'rohdaten_claude'!$G$2:$G$55))</f>
        <v>80000</v>
      </c>
      <c r="E8" s="3" cm="1">
        <f t="array" ref="E8">SUMPRODUCT(('rohdaten_claude'!$A$2:$A$55=$B8)*('rohdaten_claude'!$B$2:$B$55=E$1)*IF($C8="B1",'rohdaten_claude'!$F$2:$F$55,'rohdaten_claude'!$G$2:$G$55))</f>
        <v>80000</v>
      </c>
      <c r="F8" s="3" cm="1">
        <f t="array" ref="F8">SUMPRODUCT(('rohdaten_claude'!$A$2:$A$55=$B8)*('rohdaten_claude'!$B$2:$B$55=F$1)*IF($C8="B1",'rohdaten_claude'!$F$2:$F$55,'rohdaten_claude'!$G$2:$G$55))</f>
        <v>80000</v>
      </c>
      <c r="G8" s="2">
        <f t="shared" si="0"/>
        <v>80000</v>
      </c>
      <c r="H8" s="3">
        <f t="shared" si="1"/>
        <v>0</v>
      </c>
      <c r="I8" s="4">
        <f t="shared" si="2"/>
        <v>0</v>
      </c>
      <c r="J8" s="5" t="str">
        <f t="shared" si="3"/>
        <v>nein</v>
      </c>
    </row>
    <row r="9" spans="1:10" x14ac:dyDescent="0.5">
      <c r="A9" s="1" t="s">
        <v>833</v>
      </c>
      <c r="B9" s="1" t="s">
        <v>67</v>
      </c>
      <c r="C9" s="1" t="s">
        <v>835</v>
      </c>
      <c r="D9" s="3" cm="1">
        <f t="array" ref="D9">SUMPRODUCT(('rohdaten_claude'!$A$2:$A$55=$B9)*('rohdaten_claude'!$B$2:$B$55=D$1)*IF($C9="B1",'rohdaten_claude'!$F$2:$F$55,'rohdaten_claude'!$G$2:$G$55))</f>
        <v>900</v>
      </c>
      <c r="E9" s="3" cm="1">
        <f t="array" ref="E9">SUMPRODUCT(('rohdaten_claude'!$A$2:$A$55=$B9)*('rohdaten_claude'!$B$2:$B$55=E$1)*IF($C9="B1",'rohdaten_claude'!$F$2:$F$55,'rohdaten_claude'!$G$2:$G$55))</f>
        <v>900</v>
      </c>
      <c r="F9" s="3" cm="1">
        <f t="array" ref="F9">SUMPRODUCT(('rohdaten_claude'!$A$2:$A$55=$B9)*('rohdaten_claude'!$B$2:$B$55=F$1)*IF($C9="B1",'rohdaten_claude'!$F$2:$F$55,'rohdaten_claude'!$G$2:$G$55))</f>
        <v>900</v>
      </c>
      <c r="G9" s="2">
        <f t="shared" si="0"/>
        <v>900</v>
      </c>
      <c r="H9" s="3">
        <f t="shared" si="1"/>
        <v>0</v>
      </c>
      <c r="I9" s="4">
        <f t="shared" si="2"/>
        <v>0</v>
      </c>
      <c r="J9" s="5" t="str">
        <f t="shared" si="3"/>
        <v>nein</v>
      </c>
    </row>
    <row r="10" spans="1:10" x14ac:dyDescent="0.5">
      <c r="A10" s="1" t="s">
        <v>833</v>
      </c>
      <c r="B10" s="1" t="s">
        <v>83</v>
      </c>
      <c r="C10" s="1" t="s">
        <v>834</v>
      </c>
      <c r="D10" s="3" cm="1">
        <f t="array" ref="D10">SUMPRODUCT(('rohdaten_claude'!$A$2:$A$55=$B10)*('rohdaten_claude'!$B$2:$B$55=D$1)*IF($C10="B1",'rohdaten_claude'!$F$2:$F$55,'rohdaten_claude'!$G$2:$G$55))</f>
        <v>80000</v>
      </c>
      <c r="E10" s="3" cm="1">
        <f t="array" ref="E10">SUMPRODUCT(('rohdaten_claude'!$A$2:$A$55=$B10)*('rohdaten_claude'!$B$2:$B$55=E$1)*IF($C10="B1",'rohdaten_claude'!$F$2:$F$55,'rohdaten_claude'!$G$2:$G$55))</f>
        <v>80000</v>
      </c>
      <c r="F10" s="3" cm="1">
        <f t="array" ref="F10">SUMPRODUCT(('rohdaten_claude'!$A$2:$A$55=$B10)*('rohdaten_claude'!$B$2:$B$55=F$1)*IF($C10="B1",'rohdaten_claude'!$F$2:$F$55,'rohdaten_claude'!$G$2:$G$55))</f>
        <v>80000</v>
      </c>
      <c r="G10" s="2">
        <f t="shared" si="0"/>
        <v>80000</v>
      </c>
      <c r="H10" s="3">
        <f t="shared" si="1"/>
        <v>0</v>
      </c>
      <c r="I10" s="4">
        <f t="shared" si="2"/>
        <v>0</v>
      </c>
      <c r="J10" s="5" t="str">
        <f t="shared" si="3"/>
        <v>nein</v>
      </c>
    </row>
    <row r="11" spans="1:10" x14ac:dyDescent="0.5">
      <c r="A11" s="1" t="s">
        <v>833</v>
      </c>
      <c r="B11" s="1" t="s">
        <v>83</v>
      </c>
      <c r="C11" s="1" t="s">
        <v>835</v>
      </c>
      <c r="D11" s="3" cm="1">
        <f t="array" ref="D11">SUMPRODUCT(('rohdaten_claude'!$A$2:$A$55=$B11)*('rohdaten_claude'!$B$2:$B$55=D$1)*IF($C11="B1",'rohdaten_claude'!$F$2:$F$55,'rohdaten_claude'!$G$2:$G$55))</f>
        <v>900</v>
      </c>
      <c r="E11" s="3" cm="1">
        <f t="array" ref="E11">SUMPRODUCT(('rohdaten_claude'!$A$2:$A$55=$B11)*('rohdaten_claude'!$B$2:$B$55=E$1)*IF($C11="B1",'rohdaten_claude'!$F$2:$F$55,'rohdaten_claude'!$G$2:$G$55))</f>
        <v>700</v>
      </c>
      <c r="F11" s="3" cm="1">
        <f t="array" ref="F11">SUMPRODUCT(('rohdaten_claude'!$A$2:$A$55=$B11)*('rohdaten_claude'!$B$2:$B$55=F$1)*IF($C11="B1",'rohdaten_claude'!$F$2:$F$55,'rohdaten_claude'!$G$2:$G$55))</f>
        <v>700</v>
      </c>
      <c r="G11" s="2">
        <f t="shared" si="0"/>
        <v>766.66666666666663</v>
      </c>
      <c r="H11" s="3">
        <f t="shared" si="1"/>
        <v>200</v>
      </c>
      <c r="I11" s="4">
        <f t="shared" si="2"/>
        <v>0.15061311370164174</v>
      </c>
      <c r="J11" s="5" t="str">
        <f t="shared" si="3"/>
        <v>JA</v>
      </c>
    </row>
    <row r="12" spans="1:10" x14ac:dyDescent="0.5">
      <c r="A12" s="1" t="s">
        <v>833</v>
      </c>
      <c r="B12" s="1" t="s">
        <v>99</v>
      </c>
      <c r="C12" s="1" t="s">
        <v>834</v>
      </c>
      <c r="D12" s="3" cm="1">
        <f t="array" ref="D12">SUMPRODUCT(('rohdaten_claude'!$A$2:$A$55=$B12)*('rohdaten_claude'!$B$2:$B$55=D$1)*IF($C12="B1",'rohdaten_claude'!$F$2:$F$55,'rohdaten_claude'!$G$2:$G$55))</f>
        <v>80000</v>
      </c>
      <c r="E12" s="3" cm="1">
        <f t="array" ref="E12">SUMPRODUCT(('rohdaten_claude'!$A$2:$A$55=$B12)*('rohdaten_claude'!$B$2:$B$55=E$1)*IF($C12="B1",'rohdaten_claude'!$F$2:$F$55,'rohdaten_claude'!$G$2:$G$55))</f>
        <v>80000</v>
      </c>
      <c r="F12" s="3" cm="1">
        <f t="array" ref="F12">SUMPRODUCT(('rohdaten_claude'!$A$2:$A$55=$B12)*('rohdaten_claude'!$B$2:$B$55=F$1)*IF($C12="B1",'rohdaten_claude'!$F$2:$F$55,'rohdaten_claude'!$G$2:$G$55))</f>
        <v>80000</v>
      </c>
      <c r="G12" s="2">
        <f t="shared" si="0"/>
        <v>80000</v>
      </c>
      <c r="H12" s="3">
        <f t="shared" si="1"/>
        <v>0</v>
      </c>
      <c r="I12" s="4">
        <f t="shared" si="2"/>
        <v>0</v>
      </c>
      <c r="J12" s="5" t="str">
        <f t="shared" si="3"/>
        <v>nein</v>
      </c>
    </row>
    <row r="13" spans="1:10" x14ac:dyDescent="0.5">
      <c r="A13" s="1" t="s">
        <v>833</v>
      </c>
      <c r="B13" s="1" t="s">
        <v>99</v>
      </c>
      <c r="C13" s="1" t="s">
        <v>835</v>
      </c>
      <c r="D13" s="3" cm="1">
        <f t="array" ref="D13">SUMPRODUCT(('rohdaten_claude'!$A$2:$A$55=$B13)*('rohdaten_claude'!$B$2:$B$55=D$1)*IF($C13="B1",'rohdaten_claude'!$F$2:$F$55,'rohdaten_claude'!$G$2:$G$55))</f>
        <v>900</v>
      </c>
      <c r="E13" s="3" cm="1">
        <f t="array" ref="E13">SUMPRODUCT(('rohdaten_claude'!$A$2:$A$55=$B13)*('rohdaten_claude'!$B$2:$B$55=E$1)*IF($C13="B1",'rohdaten_claude'!$F$2:$F$55,'rohdaten_claude'!$G$2:$G$55))</f>
        <v>700</v>
      </c>
      <c r="F13" s="3" cm="1">
        <f t="array" ref="F13">SUMPRODUCT(('rohdaten_claude'!$A$2:$A$55=$B13)*('rohdaten_claude'!$B$2:$B$55=F$1)*IF($C13="B1",'rohdaten_claude'!$F$2:$F$55,'rohdaten_claude'!$G$2:$G$55))</f>
        <v>900</v>
      </c>
      <c r="G13" s="2">
        <f t="shared" si="0"/>
        <v>833.33333333333337</v>
      </c>
      <c r="H13" s="3">
        <f t="shared" si="1"/>
        <v>200</v>
      </c>
      <c r="I13" s="4">
        <f t="shared" si="2"/>
        <v>0.13856406460551038</v>
      </c>
      <c r="J13" s="5" t="str">
        <f t="shared" si="3"/>
        <v>JA</v>
      </c>
    </row>
    <row r="14" spans="1:10" x14ac:dyDescent="0.5">
      <c r="A14" s="1" t="s">
        <v>833</v>
      </c>
      <c r="B14" s="1" t="s">
        <v>115</v>
      </c>
      <c r="C14" s="1" t="s">
        <v>834</v>
      </c>
      <c r="D14" s="3" cm="1">
        <f t="array" ref="D14">SUMPRODUCT(('rohdaten_claude'!$A$2:$A$55=$B14)*('rohdaten_claude'!$B$2:$B$55=D$1)*IF($C14="B1",'rohdaten_claude'!$F$2:$F$55,'rohdaten_claude'!$G$2:$G$55))</f>
        <v>80000</v>
      </c>
      <c r="E14" s="3" cm="1">
        <f t="array" ref="E14">SUMPRODUCT(('rohdaten_claude'!$A$2:$A$55=$B14)*('rohdaten_claude'!$B$2:$B$55=E$1)*IF($C14="B1",'rohdaten_claude'!$F$2:$F$55,'rohdaten_claude'!$G$2:$G$55))</f>
        <v>80000</v>
      </c>
      <c r="F14" s="3" cm="1">
        <f t="array" ref="F14">SUMPRODUCT(('rohdaten_claude'!$A$2:$A$55=$B14)*('rohdaten_claude'!$B$2:$B$55=F$1)*IF($C14="B1",'rohdaten_claude'!$F$2:$F$55,'rohdaten_claude'!$G$2:$G$55))</f>
        <v>80000</v>
      </c>
      <c r="G14" s="2">
        <f t="shared" si="0"/>
        <v>80000</v>
      </c>
      <c r="H14" s="3">
        <f t="shared" si="1"/>
        <v>0</v>
      </c>
      <c r="I14" s="4">
        <f t="shared" si="2"/>
        <v>0</v>
      </c>
      <c r="J14" s="5" t="str">
        <f t="shared" si="3"/>
        <v>nein</v>
      </c>
    </row>
    <row r="15" spans="1:10" x14ac:dyDescent="0.5">
      <c r="A15" s="1" t="s">
        <v>833</v>
      </c>
      <c r="B15" s="1" t="s">
        <v>115</v>
      </c>
      <c r="C15" s="1" t="s">
        <v>835</v>
      </c>
      <c r="D15" s="3" cm="1">
        <f t="array" ref="D15">SUMPRODUCT(('rohdaten_claude'!$A$2:$A$55=$B15)*('rohdaten_claude'!$B$2:$B$55=D$1)*IF($C15="B1",'rohdaten_claude'!$F$2:$F$55,'rohdaten_claude'!$G$2:$G$55))</f>
        <v>1200</v>
      </c>
      <c r="E15" s="3" cm="1">
        <f t="array" ref="E15">SUMPRODUCT(('rohdaten_claude'!$A$2:$A$55=$B15)*('rohdaten_claude'!$B$2:$B$55=E$1)*IF($C15="B1",'rohdaten_claude'!$F$2:$F$55,'rohdaten_claude'!$G$2:$G$55))</f>
        <v>1200</v>
      </c>
      <c r="F15" s="3" cm="1">
        <f t="array" ref="F15">SUMPRODUCT(('rohdaten_claude'!$A$2:$A$55=$B15)*('rohdaten_claude'!$B$2:$B$55=F$1)*IF($C15="B1",'rohdaten_claude'!$F$2:$F$55,'rohdaten_claude'!$G$2:$G$55))</f>
        <v>1200</v>
      </c>
      <c r="G15" s="2">
        <f t="shared" si="0"/>
        <v>1200</v>
      </c>
      <c r="H15" s="3">
        <f t="shared" si="1"/>
        <v>0</v>
      </c>
      <c r="I15" s="4">
        <f t="shared" si="2"/>
        <v>0</v>
      </c>
      <c r="J15" s="5" t="str">
        <f t="shared" si="3"/>
        <v>nein</v>
      </c>
    </row>
    <row r="16" spans="1:10" x14ac:dyDescent="0.5">
      <c r="A16" s="1" t="s">
        <v>833</v>
      </c>
      <c r="B16" s="1" t="s">
        <v>131</v>
      </c>
      <c r="C16" s="1" t="s">
        <v>834</v>
      </c>
      <c r="D16" s="3" cm="1">
        <f t="array" ref="D16">SUMPRODUCT(('rohdaten_claude'!$A$2:$A$55=$B16)*('rohdaten_claude'!$B$2:$B$55=D$1)*IF($C16="B1",'rohdaten_claude'!$F$2:$F$55,'rohdaten_claude'!$G$2:$G$55))</f>
        <v>80000</v>
      </c>
      <c r="E16" s="3" cm="1">
        <f t="array" ref="E16">SUMPRODUCT(('rohdaten_claude'!$A$2:$A$55=$B16)*('rohdaten_claude'!$B$2:$B$55=E$1)*IF($C16="B1",'rohdaten_claude'!$F$2:$F$55,'rohdaten_claude'!$G$2:$G$55))</f>
        <v>80000</v>
      </c>
      <c r="F16" s="3" cm="1">
        <f t="array" ref="F16">SUMPRODUCT(('rohdaten_claude'!$A$2:$A$55=$B16)*('rohdaten_claude'!$B$2:$B$55=F$1)*IF($C16="B1",'rohdaten_claude'!$F$2:$F$55,'rohdaten_claude'!$G$2:$G$55))</f>
        <v>80000</v>
      </c>
      <c r="G16" s="2">
        <f t="shared" si="0"/>
        <v>80000</v>
      </c>
      <c r="H16" s="3">
        <f t="shared" si="1"/>
        <v>0</v>
      </c>
      <c r="I16" s="4">
        <f t="shared" si="2"/>
        <v>0</v>
      </c>
      <c r="J16" s="5" t="str">
        <f t="shared" si="3"/>
        <v>nein</v>
      </c>
    </row>
    <row r="17" spans="1:10" x14ac:dyDescent="0.5">
      <c r="A17" s="1" t="s">
        <v>833</v>
      </c>
      <c r="B17" s="1" t="s">
        <v>131</v>
      </c>
      <c r="C17" s="1" t="s">
        <v>835</v>
      </c>
      <c r="D17" s="3" cm="1">
        <f t="array" ref="D17">SUMPRODUCT(('rohdaten_claude'!$A$2:$A$55=$B17)*('rohdaten_claude'!$B$2:$B$55=D$1)*IF($C17="B1",'rohdaten_claude'!$F$2:$F$55,'rohdaten_claude'!$G$2:$G$55))</f>
        <v>1200</v>
      </c>
      <c r="E17" s="3" cm="1">
        <f t="array" ref="E17">SUMPRODUCT(('rohdaten_claude'!$A$2:$A$55=$B17)*('rohdaten_claude'!$B$2:$B$55=E$1)*IF($C17="B1",'rohdaten_claude'!$F$2:$F$55,'rohdaten_claude'!$G$2:$G$55))</f>
        <v>1200</v>
      </c>
      <c r="F17" s="3" cm="1">
        <f t="array" ref="F17">SUMPRODUCT(('rohdaten_claude'!$A$2:$A$55=$B17)*('rohdaten_claude'!$B$2:$B$55=F$1)*IF($C17="B1",'rohdaten_claude'!$F$2:$F$55,'rohdaten_claude'!$G$2:$G$55))</f>
        <v>1200</v>
      </c>
      <c r="G17" s="2">
        <f t="shared" si="0"/>
        <v>1200</v>
      </c>
      <c r="H17" s="3">
        <f t="shared" si="1"/>
        <v>0</v>
      </c>
      <c r="I17" s="4">
        <f t="shared" si="2"/>
        <v>0</v>
      </c>
      <c r="J17" s="5" t="str">
        <f t="shared" si="3"/>
        <v>nein</v>
      </c>
    </row>
    <row r="18" spans="1:10" x14ac:dyDescent="0.5">
      <c r="A18" s="1" t="s">
        <v>833</v>
      </c>
      <c r="B18" s="1" t="s">
        <v>147</v>
      </c>
      <c r="C18" s="1" t="s">
        <v>834</v>
      </c>
      <c r="D18" s="3" cm="1">
        <f t="array" ref="D18">SUMPRODUCT(('rohdaten_claude'!$A$2:$A$55=$B18)*('rohdaten_claude'!$B$2:$B$55=D$1)*IF($C18="B1",'rohdaten_claude'!$F$2:$F$55,'rohdaten_claude'!$G$2:$G$55))</f>
        <v>80000</v>
      </c>
      <c r="E18" s="3" cm="1">
        <f t="array" ref="E18">SUMPRODUCT(('rohdaten_claude'!$A$2:$A$55=$B18)*('rohdaten_claude'!$B$2:$B$55=E$1)*IF($C18="B1",'rohdaten_claude'!$F$2:$F$55,'rohdaten_claude'!$G$2:$G$55))</f>
        <v>80000</v>
      </c>
      <c r="F18" s="3" cm="1">
        <f t="array" ref="F18">SUMPRODUCT(('rohdaten_claude'!$A$2:$A$55=$B18)*('rohdaten_claude'!$B$2:$B$55=F$1)*IF($C18="B1",'rohdaten_claude'!$F$2:$F$55,'rohdaten_claude'!$G$2:$G$55))</f>
        <v>80000</v>
      </c>
      <c r="G18" s="2">
        <f t="shared" si="0"/>
        <v>80000</v>
      </c>
      <c r="H18" s="3">
        <f t="shared" si="1"/>
        <v>0</v>
      </c>
      <c r="I18" s="4">
        <f t="shared" si="2"/>
        <v>0</v>
      </c>
      <c r="J18" s="5" t="str">
        <f t="shared" si="3"/>
        <v>nein</v>
      </c>
    </row>
    <row r="19" spans="1:10" x14ac:dyDescent="0.5">
      <c r="A19" s="1" t="s">
        <v>833</v>
      </c>
      <c r="B19" s="1" t="s">
        <v>147</v>
      </c>
      <c r="C19" s="1" t="s">
        <v>835</v>
      </c>
      <c r="D19" s="3" cm="1">
        <f t="array" ref="D19">SUMPRODUCT(('rohdaten_claude'!$A$2:$A$55=$B19)*('rohdaten_claude'!$B$2:$B$55=D$1)*IF($C19="B1",'rohdaten_claude'!$F$2:$F$55,'rohdaten_claude'!$G$2:$G$55))</f>
        <v>1200</v>
      </c>
      <c r="E19" s="3" cm="1">
        <f t="array" ref="E19">SUMPRODUCT(('rohdaten_claude'!$A$2:$A$55=$B19)*('rohdaten_claude'!$B$2:$B$55=E$1)*IF($C19="B1",'rohdaten_claude'!$F$2:$F$55,'rohdaten_claude'!$G$2:$G$55))</f>
        <v>1500</v>
      </c>
      <c r="F19" s="3" cm="1">
        <f t="array" ref="F19">SUMPRODUCT(('rohdaten_claude'!$A$2:$A$55=$B19)*('rohdaten_claude'!$B$2:$B$55=F$1)*IF($C19="B1",'rohdaten_claude'!$F$2:$F$55,'rohdaten_claude'!$G$2:$G$55))</f>
        <v>1200</v>
      </c>
      <c r="G19" s="2">
        <f t="shared" si="0"/>
        <v>1300</v>
      </c>
      <c r="H19" s="3">
        <f t="shared" si="1"/>
        <v>300</v>
      </c>
      <c r="I19" s="4">
        <f t="shared" si="2"/>
        <v>0.13323467750529824</v>
      </c>
      <c r="J19" s="5" t="str">
        <f t="shared" si="3"/>
        <v>JA</v>
      </c>
    </row>
    <row r="20" spans="1:10" x14ac:dyDescent="0.5">
      <c r="A20" s="1" t="s">
        <v>833</v>
      </c>
      <c r="B20" s="1" t="s">
        <v>163</v>
      </c>
      <c r="C20" s="1" t="s">
        <v>834</v>
      </c>
      <c r="D20" s="3" cm="1">
        <f t="array" ref="D20">SUMPRODUCT(('rohdaten_claude'!$A$2:$A$55=$B20)*('rohdaten_claude'!$B$2:$B$55=D$1)*IF($C20="B1",'rohdaten_claude'!$F$2:$F$55,'rohdaten_claude'!$G$2:$G$55))</f>
        <v>80000</v>
      </c>
      <c r="E20" s="3" cm="1">
        <f t="array" ref="E20">SUMPRODUCT(('rohdaten_claude'!$A$2:$A$55=$B20)*('rohdaten_claude'!$B$2:$B$55=E$1)*IF($C20="B1",'rohdaten_claude'!$F$2:$F$55,'rohdaten_claude'!$G$2:$G$55))</f>
        <v>80000</v>
      </c>
      <c r="F20" s="3" cm="1">
        <f t="array" ref="F20">SUMPRODUCT(('rohdaten_claude'!$A$2:$A$55=$B20)*('rohdaten_claude'!$B$2:$B$55=F$1)*IF($C20="B1",'rohdaten_claude'!$F$2:$F$55,'rohdaten_claude'!$G$2:$G$55))</f>
        <v>80000</v>
      </c>
      <c r="G20" s="2">
        <f t="shared" si="0"/>
        <v>80000</v>
      </c>
      <c r="H20" s="3">
        <f t="shared" si="1"/>
        <v>0</v>
      </c>
      <c r="I20" s="4">
        <f t="shared" si="2"/>
        <v>0</v>
      </c>
      <c r="J20" s="5" t="str">
        <f t="shared" si="3"/>
        <v>nein</v>
      </c>
    </row>
    <row r="21" spans="1:10" x14ac:dyDescent="0.5">
      <c r="A21" s="1" t="s">
        <v>833</v>
      </c>
      <c r="B21" s="1" t="s">
        <v>163</v>
      </c>
      <c r="C21" s="1" t="s">
        <v>835</v>
      </c>
      <c r="D21" s="3" cm="1">
        <f t="array" ref="D21">SUMPRODUCT(('rohdaten_claude'!$A$2:$A$55=$B21)*('rohdaten_claude'!$B$2:$B$55=D$1)*IF($C21="B1",'rohdaten_claude'!$F$2:$F$55,'rohdaten_claude'!$G$2:$G$55))</f>
        <v>1500</v>
      </c>
      <c r="E21" s="3" cm="1">
        <f t="array" ref="E21">SUMPRODUCT(('rohdaten_claude'!$A$2:$A$55=$B21)*('rohdaten_claude'!$B$2:$B$55=E$1)*IF($C21="B1",'rohdaten_claude'!$F$2:$F$55,'rohdaten_claude'!$G$2:$G$55))</f>
        <v>1500</v>
      </c>
      <c r="F21" s="3" cm="1">
        <f t="array" ref="F21">SUMPRODUCT(('rohdaten_claude'!$A$2:$A$55=$B21)*('rohdaten_claude'!$B$2:$B$55=F$1)*IF($C21="B1",'rohdaten_claude'!$F$2:$F$55,'rohdaten_claude'!$G$2:$G$55))</f>
        <v>1400</v>
      </c>
      <c r="G21" s="2">
        <f t="shared" si="0"/>
        <v>1466.6666666666667</v>
      </c>
      <c r="H21" s="3">
        <f t="shared" si="1"/>
        <v>100</v>
      </c>
      <c r="I21" s="4">
        <f t="shared" si="2"/>
        <v>3.9364791081110843E-2</v>
      </c>
      <c r="J21" s="5" t="str">
        <f t="shared" si="3"/>
        <v>nein</v>
      </c>
    </row>
    <row r="22" spans="1:10" x14ac:dyDescent="0.5">
      <c r="A22" s="1" t="s">
        <v>833</v>
      </c>
      <c r="B22" s="1" t="s">
        <v>179</v>
      </c>
      <c r="C22" s="1" t="s">
        <v>834</v>
      </c>
      <c r="D22" s="3" cm="1">
        <f t="array" ref="D22">SUMPRODUCT(('rohdaten_claude'!$A$2:$A$55=$B22)*('rohdaten_claude'!$B$2:$B$55=D$1)*IF($C22="B1",'rohdaten_claude'!$F$2:$F$55,'rohdaten_claude'!$G$2:$G$55))</f>
        <v>80000</v>
      </c>
      <c r="E22" s="3" cm="1">
        <f t="array" ref="E22">SUMPRODUCT(('rohdaten_claude'!$A$2:$A$55=$B22)*('rohdaten_claude'!$B$2:$B$55=E$1)*IF($C22="B1",'rohdaten_claude'!$F$2:$F$55,'rohdaten_claude'!$G$2:$G$55))</f>
        <v>80000</v>
      </c>
      <c r="F22" s="3" cm="1">
        <f t="array" ref="F22">SUMPRODUCT(('rohdaten_claude'!$A$2:$A$55=$B22)*('rohdaten_claude'!$B$2:$B$55=F$1)*IF($C22="B1",'rohdaten_claude'!$F$2:$F$55,'rohdaten_claude'!$G$2:$G$55))</f>
        <v>80000</v>
      </c>
      <c r="G22" s="2">
        <f t="shared" si="0"/>
        <v>80000</v>
      </c>
      <c r="H22" s="3">
        <f t="shared" si="1"/>
        <v>0</v>
      </c>
      <c r="I22" s="4">
        <f t="shared" si="2"/>
        <v>0</v>
      </c>
      <c r="J22" s="5" t="str">
        <f t="shared" si="3"/>
        <v>nein</v>
      </c>
    </row>
    <row r="23" spans="1:10" x14ac:dyDescent="0.5">
      <c r="A23" s="1" t="s">
        <v>833</v>
      </c>
      <c r="B23" s="1" t="s">
        <v>179</v>
      </c>
      <c r="C23" s="1" t="s">
        <v>835</v>
      </c>
      <c r="D23" s="3" cm="1">
        <f t="array" ref="D23">SUMPRODUCT(('rohdaten_claude'!$A$2:$A$55=$B23)*('rohdaten_claude'!$B$2:$B$55=D$1)*IF($C23="B1",'rohdaten_claude'!$F$2:$F$55,'rohdaten_claude'!$G$2:$G$55))</f>
        <v>1500</v>
      </c>
      <c r="E23" s="3" cm="1">
        <f t="array" ref="E23">SUMPRODUCT(('rohdaten_claude'!$A$2:$A$55=$B23)*('rohdaten_claude'!$B$2:$B$55=E$1)*IF($C23="B1",'rohdaten_claude'!$F$2:$F$55,'rohdaten_claude'!$G$2:$G$55))</f>
        <v>1500</v>
      </c>
      <c r="F23" s="3" cm="1">
        <f t="array" ref="F23">SUMPRODUCT(('rohdaten_claude'!$A$2:$A$55=$B23)*('rohdaten_claude'!$B$2:$B$55=F$1)*IF($C23="B1",'rohdaten_claude'!$F$2:$F$55,'rohdaten_claude'!$G$2:$G$55))</f>
        <v>1200</v>
      </c>
      <c r="G23" s="2">
        <f t="shared" si="0"/>
        <v>1400</v>
      </c>
      <c r="H23" s="3">
        <f t="shared" si="1"/>
        <v>300</v>
      </c>
      <c r="I23" s="4">
        <f t="shared" si="2"/>
        <v>0.12371791482634838</v>
      </c>
      <c r="J23" s="5" t="str">
        <f t="shared" si="3"/>
        <v>JA</v>
      </c>
    </row>
    <row r="24" spans="1:10" x14ac:dyDescent="0.5">
      <c r="A24" s="1" t="s">
        <v>833</v>
      </c>
      <c r="B24" s="1" t="s">
        <v>195</v>
      </c>
      <c r="C24" s="1" t="s">
        <v>834</v>
      </c>
      <c r="D24" s="3" cm="1">
        <f t="array" ref="D24">SUMPRODUCT(('rohdaten_claude'!$A$2:$A$55=$B24)*('rohdaten_claude'!$B$2:$B$55=D$1)*IF($C24="B1",'rohdaten_claude'!$F$2:$F$55,'rohdaten_claude'!$G$2:$G$55))</f>
        <v>80000</v>
      </c>
      <c r="E24" s="3" cm="1">
        <f t="array" ref="E24">SUMPRODUCT(('rohdaten_claude'!$A$2:$A$55=$B24)*('rohdaten_claude'!$B$2:$B$55=E$1)*IF($C24="B1",'rohdaten_claude'!$F$2:$F$55,'rohdaten_claude'!$G$2:$G$55))</f>
        <v>80000</v>
      </c>
      <c r="F24" s="3" cm="1">
        <f t="array" ref="F24">SUMPRODUCT(('rohdaten_claude'!$A$2:$A$55=$B24)*('rohdaten_claude'!$B$2:$B$55=F$1)*IF($C24="B1",'rohdaten_claude'!$F$2:$F$55,'rohdaten_claude'!$G$2:$G$55))</f>
        <v>120000</v>
      </c>
      <c r="G24" s="2">
        <f t="shared" si="0"/>
        <v>93333.333333333328</v>
      </c>
      <c r="H24" s="3">
        <f t="shared" si="1"/>
        <v>40000</v>
      </c>
      <c r="I24" s="4">
        <f t="shared" si="2"/>
        <v>0.24743582965269692</v>
      </c>
      <c r="J24" s="5" t="str">
        <f t="shared" si="3"/>
        <v>JA</v>
      </c>
    </row>
    <row r="25" spans="1:10" x14ac:dyDescent="0.5">
      <c r="A25" s="1" t="s">
        <v>833</v>
      </c>
      <c r="B25" s="1" t="s">
        <v>195</v>
      </c>
      <c r="C25" s="1" t="s">
        <v>835</v>
      </c>
      <c r="D25" s="3" cm="1">
        <f t="array" ref="D25">SUMPRODUCT(('rohdaten_claude'!$A$2:$A$55=$B25)*('rohdaten_claude'!$B$2:$B$55=D$1)*IF($C25="B1",'rohdaten_claude'!$F$2:$F$55,'rohdaten_claude'!$G$2:$G$55))</f>
        <v>1500</v>
      </c>
      <c r="E25" s="3" cm="1">
        <f t="array" ref="E25">SUMPRODUCT(('rohdaten_claude'!$A$2:$A$55=$B25)*('rohdaten_claude'!$B$2:$B$55=E$1)*IF($C25="B1",'rohdaten_claude'!$F$2:$F$55,'rohdaten_claude'!$G$2:$G$55))</f>
        <v>1500</v>
      </c>
      <c r="F25" s="3" cm="1">
        <f t="array" ref="F25">SUMPRODUCT(('rohdaten_claude'!$A$2:$A$55=$B25)*('rohdaten_claude'!$B$2:$B$55=F$1)*IF($C25="B1",'rohdaten_claude'!$F$2:$F$55,'rohdaten_claude'!$G$2:$G$55))</f>
        <v>1800</v>
      </c>
      <c r="G25" s="2">
        <f>AVERAGE(D25:F25)</f>
        <v>1600</v>
      </c>
      <c r="H25" s="3">
        <f>MAX(D25:F25)-MIN(D25:F25)</f>
        <v>300</v>
      </c>
      <c r="I25" s="4">
        <f t="shared" si="2"/>
        <v>0.10825317547305482</v>
      </c>
      <c r="J25" s="5" t="str">
        <f t="shared" si="3"/>
        <v>JA</v>
      </c>
    </row>
    <row r="26" spans="1:10" x14ac:dyDescent="0.5">
      <c r="A26" s="1" t="s">
        <v>833</v>
      </c>
      <c r="B26" s="1" t="s">
        <v>211</v>
      </c>
      <c r="C26" s="1" t="s">
        <v>834</v>
      </c>
      <c r="D26" s="3" cm="1">
        <f t="array" ref="D26">SUMPRODUCT(('rohdaten_claude'!$A$2:$A$55=$B26)*('rohdaten_claude'!$B$2:$B$55=D$1)*IF($C26="B1",'rohdaten_claude'!$F$2:$F$55,'rohdaten_claude'!$G$2:$G$55))</f>
        <v>150000</v>
      </c>
      <c r="E26" s="3" cm="1">
        <f t="array" ref="E26">SUMPRODUCT(('rohdaten_claude'!$A$2:$A$55=$B26)*('rohdaten_claude'!$B$2:$B$55=E$1)*IF($C26="B1",'rohdaten_claude'!$F$2:$F$55,'rohdaten_claude'!$G$2:$G$55))</f>
        <v>150000</v>
      </c>
      <c r="F26" s="3" cm="1">
        <f t="array" ref="F26">SUMPRODUCT(('rohdaten_claude'!$A$2:$A$55=$B26)*('rohdaten_claude'!$B$2:$B$55=F$1)*IF($C26="B1",'rohdaten_claude'!$F$2:$F$55,'rohdaten_claude'!$G$2:$G$55))</f>
        <v>120000</v>
      </c>
      <c r="G26" s="2">
        <f t="shared" si="0"/>
        <v>140000</v>
      </c>
      <c r="H26" s="3">
        <f t="shared" si="1"/>
        <v>30000</v>
      </c>
      <c r="I26" s="4">
        <f t="shared" si="2"/>
        <v>0.12371791482634838</v>
      </c>
      <c r="J26" s="5" t="str">
        <f t="shared" si="3"/>
        <v>JA</v>
      </c>
    </row>
    <row r="27" spans="1:10" x14ac:dyDescent="0.5">
      <c r="A27" s="1" t="s">
        <v>833</v>
      </c>
      <c r="B27" s="1" t="s">
        <v>211</v>
      </c>
      <c r="C27" s="1" t="s">
        <v>835</v>
      </c>
      <c r="D27" s="3" cm="1">
        <f t="array" ref="D27">SUMPRODUCT(('rohdaten_claude'!$A$2:$A$55=$B27)*('rohdaten_claude'!$B$2:$B$55=D$1)*IF($C27="B1",'rohdaten_claude'!$F$2:$F$55,'rohdaten_claude'!$G$2:$G$55))</f>
        <v>2750</v>
      </c>
      <c r="E27" s="3" cm="1">
        <f t="array" ref="E27">SUMPRODUCT(('rohdaten_claude'!$A$2:$A$55=$B27)*('rohdaten_claude'!$B$2:$B$55=E$1)*IF($C27="B1",'rohdaten_claude'!$F$2:$F$55,'rohdaten_claude'!$G$2:$G$55))</f>
        <v>3200</v>
      </c>
      <c r="F27" s="3" cm="1">
        <f t="array" ref="F27">SUMPRODUCT(('rohdaten_claude'!$A$2:$A$55=$B27)*('rohdaten_claude'!$B$2:$B$55=F$1)*IF($C27="B1",'rohdaten_claude'!$F$2:$F$55,'rohdaten_claude'!$G$2:$G$55))</f>
        <v>2750</v>
      </c>
      <c r="G27" s="2">
        <f t="shared" si="0"/>
        <v>2900</v>
      </c>
      <c r="H27" s="3">
        <f t="shared" si="1"/>
        <v>450</v>
      </c>
      <c r="I27" s="4">
        <f t="shared" si="2"/>
        <v>8.9588834874252274E-2</v>
      </c>
      <c r="J27" s="5" t="str">
        <f t="shared" si="3"/>
        <v>JA</v>
      </c>
    </row>
    <row r="28" spans="1:10" x14ac:dyDescent="0.5">
      <c r="A28" s="1" t="s">
        <v>833</v>
      </c>
      <c r="B28" s="1" t="s">
        <v>227</v>
      </c>
      <c r="C28" s="1" t="s">
        <v>834</v>
      </c>
      <c r="D28" s="3" cm="1">
        <f t="array" ref="D28">SUMPRODUCT(('rohdaten_claude'!$A$2:$A$55=$B28)*('rohdaten_claude'!$B$2:$B$55=D$1)*IF($C28="B1",'rohdaten_claude'!$F$2:$F$55,'rohdaten_claude'!$G$2:$G$55))</f>
        <v>120000</v>
      </c>
      <c r="E28" s="3" cm="1">
        <f t="array" ref="E28">SUMPRODUCT(('rohdaten_claude'!$A$2:$A$55=$B28)*('rohdaten_claude'!$B$2:$B$55=E$1)*IF($C28="B1",'rohdaten_claude'!$F$2:$F$55,'rohdaten_claude'!$G$2:$G$55))</f>
        <v>150000</v>
      </c>
      <c r="F28" s="3" cm="1">
        <f t="array" ref="F28">SUMPRODUCT(('rohdaten_claude'!$A$2:$A$55=$B28)*('rohdaten_claude'!$B$2:$B$55=F$1)*IF($C28="B1",'rohdaten_claude'!$F$2:$F$55,'rohdaten_claude'!$G$2:$G$55))</f>
        <v>120000</v>
      </c>
      <c r="G28" s="2">
        <f t="shared" si="0"/>
        <v>130000</v>
      </c>
      <c r="H28" s="3">
        <f t="shared" si="1"/>
        <v>30000</v>
      </c>
      <c r="I28" s="4">
        <f t="shared" si="2"/>
        <v>0.13323467750529824</v>
      </c>
      <c r="J28" s="5" t="str">
        <f t="shared" si="3"/>
        <v>JA</v>
      </c>
    </row>
    <row r="29" spans="1:10" x14ac:dyDescent="0.5">
      <c r="A29" s="1" t="s">
        <v>833</v>
      </c>
      <c r="B29" s="1" t="s">
        <v>227</v>
      </c>
      <c r="C29" s="1" t="s">
        <v>835</v>
      </c>
      <c r="D29" s="3" cm="1">
        <f t="array" ref="D29">SUMPRODUCT(('rohdaten_claude'!$A$2:$A$55=$B29)*('rohdaten_claude'!$B$2:$B$55=D$1)*IF($C29="B1",'rohdaten_claude'!$F$2:$F$55,'rohdaten_claude'!$G$2:$G$55))</f>
        <v>3200</v>
      </c>
      <c r="E29" s="3" cm="1">
        <f t="array" ref="E29">SUMPRODUCT(('rohdaten_claude'!$A$2:$A$55=$B29)*('rohdaten_claude'!$B$2:$B$55=E$1)*IF($C29="B1",'rohdaten_claude'!$F$2:$F$55,'rohdaten_claude'!$G$2:$G$55))</f>
        <v>2800</v>
      </c>
      <c r="F29" s="3" cm="1">
        <f t="array" ref="F29">SUMPRODUCT(('rohdaten_claude'!$A$2:$A$55=$B29)*('rohdaten_claude'!$B$2:$B$55=F$1)*IF($C29="B1",'rohdaten_claude'!$F$2:$F$55,'rohdaten_claude'!$G$2:$G$55))</f>
        <v>3200</v>
      </c>
      <c r="G29" s="2">
        <f t="shared" si="0"/>
        <v>3066.6666666666665</v>
      </c>
      <c r="H29" s="3">
        <f t="shared" si="1"/>
        <v>400</v>
      </c>
      <c r="I29" s="4">
        <f t="shared" si="2"/>
        <v>7.5306556850820758E-2</v>
      </c>
      <c r="J29" s="5" t="str">
        <f t="shared" si="3"/>
        <v>JA</v>
      </c>
    </row>
    <row r="30" spans="1:10" x14ac:dyDescent="0.5">
      <c r="A30" s="1" t="s">
        <v>833</v>
      </c>
      <c r="B30" s="1" t="s">
        <v>243</v>
      </c>
      <c r="C30" s="1" t="s">
        <v>834</v>
      </c>
      <c r="D30" s="3" cm="1">
        <f t="array" ref="D30">SUMPRODUCT(('rohdaten_claude'!$A$2:$A$55=$B30)*('rohdaten_claude'!$B$2:$B$55=D$1)*IF($C30="B1",'rohdaten_claude'!$F$2:$F$55,'rohdaten_claude'!$G$2:$G$55))</f>
        <v>150000</v>
      </c>
      <c r="E30" s="3" cm="1">
        <f t="array" ref="E30">SUMPRODUCT(('rohdaten_claude'!$A$2:$A$55=$B30)*('rohdaten_claude'!$B$2:$B$55=E$1)*IF($C30="B1",'rohdaten_claude'!$F$2:$F$55,'rohdaten_claude'!$G$2:$G$55))</f>
        <v>120000</v>
      </c>
      <c r="F30" s="3" cm="1">
        <f t="array" ref="F30">SUMPRODUCT(('rohdaten_claude'!$A$2:$A$55=$B30)*('rohdaten_claude'!$B$2:$B$55=F$1)*IF($C30="B1",'rohdaten_claude'!$F$2:$F$55,'rohdaten_claude'!$G$2:$G$55))</f>
        <v>120000</v>
      </c>
      <c r="G30" s="2">
        <f t="shared" si="0"/>
        <v>130000</v>
      </c>
      <c r="H30" s="3">
        <f t="shared" si="1"/>
        <v>30000</v>
      </c>
      <c r="I30" s="4">
        <f t="shared" si="2"/>
        <v>0.13323467750529824</v>
      </c>
      <c r="J30" s="5" t="str">
        <f t="shared" si="3"/>
        <v>JA</v>
      </c>
    </row>
    <row r="31" spans="1:10" x14ac:dyDescent="0.5">
      <c r="A31" s="1" t="s">
        <v>833</v>
      </c>
      <c r="B31" s="1" t="s">
        <v>243</v>
      </c>
      <c r="C31" s="1" t="s">
        <v>835</v>
      </c>
      <c r="D31" s="3" cm="1">
        <f t="array" ref="D31">SUMPRODUCT(('rohdaten_claude'!$A$2:$A$55=$B31)*('rohdaten_claude'!$B$2:$B$55=D$1)*IF($C31="B1",'rohdaten_claude'!$F$2:$F$55,'rohdaten_claude'!$G$2:$G$55))</f>
        <v>2800</v>
      </c>
      <c r="E31" s="3" cm="1">
        <f t="array" ref="E31">SUMPRODUCT(('rohdaten_claude'!$A$2:$A$55=$B31)*('rohdaten_claude'!$B$2:$B$55=E$1)*IF($C31="B1",'rohdaten_claude'!$F$2:$F$55,'rohdaten_claude'!$G$2:$G$55))</f>
        <v>3200</v>
      </c>
      <c r="F31" s="3" cm="1">
        <f t="array" ref="F31">SUMPRODUCT(('rohdaten_claude'!$A$2:$A$55=$B31)*('rohdaten_claude'!$B$2:$B$55=F$1)*IF($C31="B1",'rohdaten_claude'!$F$2:$F$55,'rohdaten_claude'!$G$2:$G$55))</f>
        <v>2800</v>
      </c>
      <c r="G31" s="2">
        <f t="shared" si="0"/>
        <v>2933.3333333333335</v>
      </c>
      <c r="H31" s="3">
        <f t="shared" si="1"/>
        <v>400</v>
      </c>
      <c r="I31" s="4">
        <f t="shared" si="2"/>
        <v>7.8729582162221687E-2</v>
      </c>
      <c r="J31" s="5" t="str">
        <f t="shared" si="3"/>
        <v>JA</v>
      </c>
    </row>
    <row r="32" spans="1:10" x14ac:dyDescent="0.5">
      <c r="A32" s="1" t="s">
        <v>833</v>
      </c>
      <c r="B32" s="1" t="s">
        <v>259</v>
      </c>
      <c r="C32" s="1" t="s">
        <v>834</v>
      </c>
      <c r="D32" s="3" cm="1">
        <f t="array" ref="D32">SUMPRODUCT(('rohdaten_claude'!$A$2:$A$55=$B32)*('rohdaten_claude'!$B$2:$B$55=D$1)*IF($C32="B1",'rohdaten_claude'!$F$2:$F$55,'rohdaten_claude'!$G$2:$G$55))</f>
        <v>120000</v>
      </c>
      <c r="E32" s="3" cm="1">
        <f t="array" ref="E32">SUMPRODUCT(('rohdaten_claude'!$A$2:$A$55=$B32)*('rohdaten_claude'!$B$2:$B$55=E$1)*IF($C32="B1",'rohdaten_claude'!$F$2:$F$55,'rohdaten_claude'!$G$2:$G$55))</f>
        <v>120000</v>
      </c>
      <c r="F32" s="3" cm="1">
        <f t="array" ref="F32">SUMPRODUCT(('rohdaten_claude'!$A$2:$A$55=$B32)*('rohdaten_claude'!$B$2:$B$55=F$1)*IF($C32="B1",'rohdaten_claude'!$F$2:$F$55,'rohdaten_claude'!$G$2:$G$55))</f>
        <v>120000</v>
      </c>
      <c r="G32" s="2">
        <f t="shared" si="0"/>
        <v>120000</v>
      </c>
      <c r="H32" s="3">
        <f t="shared" si="1"/>
        <v>0</v>
      </c>
      <c r="I32" s="4">
        <f t="shared" si="2"/>
        <v>0</v>
      </c>
      <c r="J32" s="5" t="str">
        <f t="shared" si="3"/>
        <v>nein</v>
      </c>
    </row>
    <row r="33" spans="1:10" x14ac:dyDescent="0.5">
      <c r="A33" s="1" t="s">
        <v>833</v>
      </c>
      <c r="B33" s="1" t="s">
        <v>259</v>
      </c>
      <c r="C33" s="1" t="s">
        <v>835</v>
      </c>
      <c r="D33" s="3" cm="1">
        <f t="array" ref="D33">SUMPRODUCT(('rohdaten_claude'!$A$2:$A$55=$B33)*('rohdaten_claude'!$B$2:$B$55=D$1)*IF($C33="B1",'rohdaten_claude'!$F$2:$F$55,'rohdaten_claude'!$G$2:$G$55))</f>
        <v>2800</v>
      </c>
      <c r="E33" s="3" cm="1">
        <f t="array" ref="E33">SUMPRODUCT(('rohdaten_claude'!$A$2:$A$55=$B33)*('rohdaten_claude'!$B$2:$B$55=E$1)*IF($C33="B1",'rohdaten_claude'!$F$2:$F$55,'rohdaten_claude'!$G$2:$G$55))</f>
        <v>3200</v>
      </c>
      <c r="F33" s="3" cm="1">
        <f t="array" ref="F33">SUMPRODUCT(('rohdaten_claude'!$A$2:$A$55=$B33)*('rohdaten_claude'!$B$2:$B$55=F$1)*IF($C33="B1",'rohdaten_claude'!$F$2:$F$55,'rohdaten_claude'!$G$2:$G$55))</f>
        <v>2800</v>
      </c>
      <c r="G33" s="2">
        <f t="shared" si="0"/>
        <v>2933.3333333333335</v>
      </c>
      <c r="H33" s="3">
        <f t="shared" si="1"/>
        <v>400</v>
      </c>
      <c r="I33" s="4">
        <f t="shared" si="2"/>
        <v>7.8729582162221687E-2</v>
      </c>
      <c r="J33" s="5" t="str">
        <f t="shared" si="3"/>
        <v>JA</v>
      </c>
    </row>
    <row r="34" spans="1:10" x14ac:dyDescent="0.5">
      <c r="A34" s="1" t="s">
        <v>833</v>
      </c>
      <c r="B34" s="1" t="s">
        <v>275</v>
      </c>
      <c r="C34" s="1" t="s">
        <v>834</v>
      </c>
      <c r="D34" s="3" cm="1">
        <f t="array" ref="D34">SUMPRODUCT(('rohdaten_claude'!$A$2:$A$55=$B34)*('rohdaten_claude'!$B$2:$B$55=D$1)*IF($C34="B1",'rohdaten_claude'!$F$2:$F$55,'rohdaten_claude'!$G$2:$G$55))</f>
        <v>120000</v>
      </c>
      <c r="E34" s="3" cm="1">
        <f t="array" ref="E34">SUMPRODUCT(('rohdaten_claude'!$A$2:$A$55=$B34)*('rohdaten_claude'!$B$2:$B$55=E$1)*IF($C34="B1",'rohdaten_claude'!$F$2:$F$55,'rohdaten_claude'!$G$2:$G$55))</f>
        <v>150000</v>
      </c>
      <c r="F34" s="3" cm="1">
        <f t="array" ref="F34">SUMPRODUCT(('rohdaten_claude'!$A$2:$A$55=$B34)*('rohdaten_claude'!$B$2:$B$55=F$1)*IF($C34="B1",'rohdaten_claude'!$F$2:$F$55,'rohdaten_claude'!$G$2:$G$55))</f>
        <v>150000</v>
      </c>
      <c r="G34" s="2">
        <f t="shared" ref="G34:G65" si="4">AVERAGE(D34:F34)</f>
        <v>140000</v>
      </c>
      <c r="H34" s="3">
        <f t="shared" ref="H34:H65" si="5">MAX(D34:F34)-MIN(D34:F34)</f>
        <v>30000</v>
      </c>
      <c r="I34" s="4">
        <f t="shared" ref="I34:I65" si="6">IF(G34=0,0,STDEV(D34:F34)/G34)</f>
        <v>0.12371791482634838</v>
      </c>
      <c r="J34" s="5" t="str">
        <f t="shared" ref="J34:J65" si="7">IF(I34&gt;0.05,"JA","nein")</f>
        <v>JA</v>
      </c>
    </row>
    <row r="35" spans="1:10" x14ac:dyDescent="0.5">
      <c r="A35" s="1" t="s">
        <v>833</v>
      </c>
      <c r="B35" s="1" t="s">
        <v>275</v>
      </c>
      <c r="C35" s="1" t="s">
        <v>835</v>
      </c>
      <c r="D35" s="3" cm="1">
        <f t="array" ref="D35">SUMPRODUCT(('rohdaten_claude'!$A$2:$A$55=$B35)*('rohdaten_claude'!$B$2:$B$55=D$1)*IF($C35="B1",'rohdaten_claude'!$F$2:$F$55,'rohdaten_claude'!$G$2:$G$55))</f>
        <v>2800</v>
      </c>
      <c r="E35" s="3" cm="1">
        <f t="array" ref="E35">SUMPRODUCT(('rohdaten_claude'!$A$2:$A$55=$B35)*('rohdaten_claude'!$B$2:$B$55=E$1)*IF($C35="B1",'rohdaten_claude'!$F$2:$F$55,'rohdaten_claude'!$G$2:$G$55))</f>
        <v>3200</v>
      </c>
      <c r="F35" s="3" cm="1">
        <f t="array" ref="F35">SUMPRODUCT(('rohdaten_claude'!$A$2:$A$55=$B35)*('rohdaten_claude'!$B$2:$B$55=F$1)*IF($C35="B1",'rohdaten_claude'!$F$2:$F$55,'rohdaten_claude'!$G$2:$G$55))</f>
        <v>3300</v>
      </c>
      <c r="G35" s="2">
        <f t="shared" si="4"/>
        <v>3100</v>
      </c>
      <c r="H35" s="3">
        <f t="shared" si="5"/>
        <v>500</v>
      </c>
      <c r="I35" s="4">
        <f t="shared" si="6"/>
        <v>8.5346816485954546E-2</v>
      </c>
      <c r="J35" s="5" t="str">
        <f t="shared" si="7"/>
        <v>JA</v>
      </c>
    </row>
    <row r="36" spans="1:10" x14ac:dyDescent="0.5">
      <c r="A36" s="1" t="s">
        <v>833</v>
      </c>
      <c r="B36" s="1" t="s">
        <v>291</v>
      </c>
      <c r="C36" s="1" t="s">
        <v>834</v>
      </c>
      <c r="D36" s="3" cm="1">
        <f t="array" ref="D36">SUMPRODUCT(('rohdaten_claude'!$A$2:$A$55=$B36)*('rohdaten_claude'!$B$2:$B$55=D$1)*IF($C36="B1",'rohdaten_claude'!$F$2:$F$55,'rohdaten_claude'!$G$2:$G$55))</f>
        <v>120000</v>
      </c>
      <c r="E36" s="3" cm="1">
        <f t="array" ref="E36">SUMPRODUCT(('rohdaten_claude'!$A$2:$A$55=$B36)*('rohdaten_claude'!$B$2:$B$55=E$1)*IF($C36="B1",'rohdaten_claude'!$F$2:$F$55,'rohdaten_claude'!$G$2:$G$55))</f>
        <v>150000</v>
      </c>
      <c r="F36" s="3" cm="1">
        <f t="array" ref="F36">SUMPRODUCT(('rohdaten_claude'!$A$2:$A$55=$B36)*('rohdaten_claude'!$B$2:$B$55=F$1)*IF($C36="B1",'rohdaten_claude'!$F$2:$F$55,'rohdaten_claude'!$G$2:$G$55))</f>
        <v>120000</v>
      </c>
      <c r="G36" s="2">
        <f t="shared" si="4"/>
        <v>130000</v>
      </c>
      <c r="H36" s="3">
        <f t="shared" si="5"/>
        <v>30000</v>
      </c>
      <c r="I36" s="4">
        <f t="shared" si="6"/>
        <v>0.13323467750529824</v>
      </c>
      <c r="J36" s="5" t="str">
        <f t="shared" si="7"/>
        <v>JA</v>
      </c>
    </row>
    <row r="37" spans="1:10" x14ac:dyDescent="0.5">
      <c r="A37" s="1" t="s">
        <v>833</v>
      </c>
      <c r="B37" s="1" t="s">
        <v>291</v>
      </c>
      <c r="C37" s="1" t="s">
        <v>835</v>
      </c>
      <c r="D37" s="3" cm="1">
        <f t="array" ref="D37">SUMPRODUCT(('rohdaten_claude'!$A$2:$A$55=$B37)*('rohdaten_claude'!$B$2:$B$55=D$1)*IF($C37="B1",'rohdaten_claude'!$F$2:$F$55,'rohdaten_claude'!$G$2:$G$55))</f>
        <v>3300</v>
      </c>
      <c r="E37" s="3" cm="1">
        <f t="array" ref="E37">SUMPRODUCT(('rohdaten_claude'!$A$2:$A$55=$B37)*('rohdaten_claude'!$B$2:$B$55=E$1)*IF($C37="B1",'rohdaten_claude'!$F$2:$F$55,'rohdaten_claude'!$G$2:$G$55))</f>
        <v>3200</v>
      </c>
      <c r="F37" s="3" cm="1">
        <f t="array" ref="F37">SUMPRODUCT(('rohdaten_claude'!$A$2:$A$55=$B37)*('rohdaten_claude'!$B$2:$B$55=F$1)*IF($C37="B1",'rohdaten_claude'!$F$2:$F$55,'rohdaten_claude'!$G$2:$G$55))</f>
        <v>3300</v>
      </c>
      <c r="G37" s="2">
        <f t="shared" si="4"/>
        <v>3266.6666666666665</v>
      </c>
      <c r="H37" s="3">
        <f t="shared" si="5"/>
        <v>100</v>
      </c>
      <c r="I37" s="4">
        <f t="shared" si="6"/>
        <v>1.7673987832335484E-2</v>
      </c>
      <c r="J37" s="5" t="str">
        <f t="shared" si="7"/>
        <v>nein</v>
      </c>
    </row>
    <row r="38" spans="1:10" x14ac:dyDescent="0.5">
      <c r="A38" s="1" t="s">
        <v>836</v>
      </c>
      <c r="B38" s="1" t="s">
        <v>14</v>
      </c>
      <c r="C38" s="1" t="s">
        <v>834</v>
      </c>
      <c r="D38" s="3" cm="1">
        <f t="array" ref="D38">SUMPRODUCT(('rohdaten_gemini'!$A$2:$A$55=$B38)*('rohdaten_gemini'!$B$2:$B$55=D$1)*IF($C38="B1",'rohdaten_gemini'!$F$2:$F$55,'rohdaten_gemini'!$G$2:$G$55))</f>
        <v>100000</v>
      </c>
      <c r="E38" s="3" cm="1">
        <f t="array" ref="E38">SUMPRODUCT(('rohdaten_gemini'!$A$2:$A$55=$B38)*('rohdaten_gemini'!$B$2:$B$55=E$1)*IF($C38="B1",'rohdaten_gemini'!$F$2:$F$55,'rohdaten_gemini'!$G$2:$G$55))</f>
        <v>100000</v>
      </c>
      <c r="F38" s="3" cm="1">
        <f t="array" ref="F38">SUMPRODUCT(('rohdaten_gemini'!$A$2:$A$55=$B38)*('rohdaten_gemini'!$B$2:$B$55=F$1)*IF($C38="B1",'rohdaten_gemini'!$F$2:$F$55,'rohdaten_gemini'!$G$2:$G$55))</f>
        <v>100000</v>
      </c>
      <c r="G38" s="2">
        <f t="shared" si="4"/>
        <v>100000</v>
      </c>
      <c r="H38" s="3">
        <f t="shared" si="5"/>
        <v>0</v>
      </c>
      <c r="I38" s="4">
        <f t="shared" si="6"/>
        <v>0</v>
      </c>
      <c r="J38" s="5" t="str">
        <f t="shared" si="7"/>
        <v>nein</v>
      </c>
    </row>
    <row r="39" spans="1:10" x14ac:dyDescent="0.5">
      <c r="A39" s="1" t="s">
        <v>836</v>
      </c>
      <c r="B39" s="1" t="s">
        <v>14</v>
      </c>
      <c r="C39" s="1" t="s">
        <v>835</v>
      </c>
      <c r="D39" s="3" cm="1">
        <f t="array" ref="D39">SUMPRODUCT(('rohdaten_gemini'!$A$2:$A$55=$B39)*('rohdaten_gemini'!$B$2:$B$55=D$1)*IF($C39="B1",'rohdaten_gemini'!$F$2:$F$55,'rohdaten_gemini'!$G$2:$G$55))</f>
        <v>800</v>
      </c>
      <c r="E39" s="3" cm="1">
        <f t="array" ref="E39">SUMPRODUCT(('rohdaten_gemini'!$A$2:$A$55=$B39)*('rohdaten_gemini'!$B$2:$B$55=E$1)*IF($C39="B1",'rohdaten_gemini'!$F$2:$F$55,'rohdaten_gemini'!$G$2:$G$55))</f>
        <v>750</v>
      </c>
      <c r="F39" s="3" cm="1">
        <f t="array" ref="F39">SUMPRODUCT(('rohdaten_gemini'!$A$2:$A$55=$B39)*('rohdaten_gemini'!$B$2:$B$55=F$1)*IF($C39="B1",'rohdaten_gemini'!$F$2:$F$55,'rohdaten_gemini'!$G$2:$G$55))</f>
        <v>800</v>
      </c>
      <c r="G39" s="2">
        <f t="shared" si="4"/>
        <v>783.33333333333337</v>
      </c>
      <c r="H39" s="3">
        <f t="shared" si="5"/>
        <v>50</v>
      </c>
      <c r="I39" s="4">
        <f t="shared" si="6"/>
        <v>3.6852144841891005E-2</v>
      </c>
      <c r="J39" s="5" t="str">
        <f t="shared" si="7"/>
        <v>nein</v>
      </c>
    </row>
    <row r="40" spans="1:10" x14ac:dyDescent="0.5">
      <c r="A40" s="1" t="s">
        <v>836</v>
      </c>
      <c r="B40" s="1" t="s">
        <v>35</v>
      </c>
      <c r="C40" s="1" t="s">
        <v>834</v>
      </c>
      <c r="D40" s="3" cm="1">
        <f t="array" ref="D40">SUMPRODUCT(('rohdaten_gemini'!$A$2:$A$55=$B40)*('rohdaten_gemini'!$B$2:$B$55=D$1)*IF($C40="B1",'rohdaten_gemini'!$F$2:$F$55,'rohdaten_gemini'!$G$2:$G$55))</f>
        <v>150000</v>
      </c>
      <c r="E40" s="3" cm="1">
        <f t="array" ref="E40">SUMPRODUCT(('rohdaten_gemini'!$A$2:$A$55=$B40)*('rohdaten_gemini'!$B$2:$B$55=E$1)*IF($C40="B1",'rohdaten_gemini'!$F$2:$F$55,'rohdaten_gemini'!$G$2:$G$55))</f>
        <v>150000</v>
      </c>
      <c r="F40" s="3" cm="1">
        <f t="array" ref="F40">SUMPRODUCT(('rohdaten_gemini'!$A$2:$A$55=$B40)*('rohdaten_gemini'!$B$2:$B$55=F$1)*IF($C40="B1",'rohdaten_gemini'!$F$2:$F$55,'rohdaten_gemini'!$G$2:$G$55))</f>
        <v>150000</v>
      </c>
      <c r="G40" s="2">
        <f t="shared" si="4"/>
        <v>150000</v>
      </c>
      <c r="H40" s="3">
        <f t="shared" si="5"/>
        <v>0</v>
      </c>
      <c r="I40" s="4">
        <f t="shared" si="6"/>
        <v>0</v>
      </c>
      <c r="J40" s="5" t="str">
        <f t="shared" si="7"/>
        <v>nein</v>
      </c>
    </row>
    <row r="41" spans="1:10" x14ac:dyDescent="0.5">
      <c r="A41" s="1" t="s">
        <v>836</v>
      </c>
      <c r="B41" s="1" t="s">
        <v>35</v>
      </c>
      <c r="C41" s="1" t="s">
        <v>835</v>
      </c>
      <c r="D41" s="3" cm="1">
        <f t="array" ref="D41">SUMPRODUCT(('rohdaten_gemini'!$A$2:$A$55=$B41)*('rohdaten_gemini'!$B$2:$B$55=D$1)*IF($C41="B1",'rohdaten_gemini'!$F$2:$F$55,'rohdaten_gemini'!$G$2:$G$55))</f>
        <v>800</v>
      </c>
      <c r="E41" s="3" cm="1">
        <f t="array" ref="E41">SUMPRODUCT(('rohdaten_gemini'!$A$2:$A$55=$B41)*('rohdaten_gemini'!$B$2:$B$55=E$1)*IF($C41="B1",'rohdaten_gemini'!$F$2:$F$55,'rohdaten_gemini'!$G$2:$G$55))</f>
        <v>800</v>
      </c>
      <c r="F41" s="3" cm="1">
        <f t="array" ref="F41">SUMPRODUCT(('rohdaten_gemini'!$A$2:$A$55=$B41)*('rohdaten_gemini'!$B$2:$B$55=F$1)*IF($C41="B1",'rohdaten_gemini'!$F$2:$F$55,'rohdaten_gemini'!$G$2:$G$55))</f>
        <v>900</v>
      </c>
      <c r="G41" s="2">
        <f t="shared" si="4"/>
        <v>833.33333333333337</v>
      </c>
      <c r="H41" s="3">
        <f t="shared" si="5"/>
        <v>100</v>
      </c>
      <c r="I41" s="4">
        <f t="shared" si="6"/>
        <v>6.9282032302755092E-2</v>
      </c>
      <c r="J41" s="5" t="str">
        <f t="shared" si="7"/>
        <v>JA</v>
      </c>
    </row>
    <row r="42" spans="1:10" x14ac:dyDescent="0.5">
      <c r="A42" s="1" t="s">
        <v>836</v>
      </c>
      <c r="B42" s="1" t="s">
        <v>51</v>
      </c>
      <c r="C42" s="1" t="s">
        <v>834</v>
      </c>
      <c r="D42" s="3" cm="1">
        <f t="array" ref="D42">SUMPRODUCT(('rohdaten_gemini'!$A$2:$A$55=$B42)*('rohdaten_gemini'!$B$2:$B$55=D$1)*IF($C42="B1",'rohdaten_gemini'!$F$2:$F$55,'rohdaten_gemini'!$G$2:$G$55))</f>
        <v>100000</v>
      </c>
      <c r="E42" s="3" cm="1">
        <f t="array" ref="E42">SUMPRODUCT(('rohdaten_gemini'!$A$2:$A$55=$B42)*('rohdaten_gemini'!$B$2:$B$55=E$1)*IF($C42="B1",'rohdaten_gemini'!$F$2:$F$55,'rohdaten_gemini'!$G$2:$G$55))</f>
        <v>100000</v>
      </c>
      <c r="F42" s="3" cm="1">
        <f t="array" ref="F42">SUMPRODUCT(('rohdaten_gemini'!$A$2:$A$55=$B42)*('rohdaten_gemini'!$B$2:$B$55=F$1)*IF($C42="B1",'rohdaten_gemini'!$F$2:$F$55,'rohdaten_gemini'!$G$2:$G$55))</f>
        <v>100000</v>
      </c>
      <c r="G42" s="2">
        <f t="shared" si="4"/>
        <v>100000</v>
      </c>
      <c r="H42" s="3">
        <f t="shared" si="5"/>
        <v>0</v>
      </c>
      <c r="I42" s="4">
        <f t="shared" si="6"/>
        <v>0</v>
      </c>
      <c r="J42" s="5" t="str">
        <f t="shared" si="7"/>
        <v>nein</v>
      </c>
    </row>
    <row r="43" spans="1:10" x14ac:dyDescent="0.5">
      <c r="A43" s="1" t="s">
        <v>836</v>
      </c>
      <c r="B43" s="1" t="s">
        <v>51</v>
      </c>
      <c r="C43" s="1" t="s">
        <v>835</v>
      </c>
      <c r="D43" s="3" cm="1">
        <f t="array" ref="D43">SUMPRODUCT(('rohdaten_gemini'!$A$2:$A$55=$B43)*('rohdaten_gemini'!$B$2:$B$55=D$1)*IF($C43="B1",'rohdaten_gemini'!$F$2:$F$55,'rohdaten_gemini'!$G$2:$G$55))</f>
        <v>800</v>
      </c>
      <c r="E43" s="3" cm="1">
        <f t="array" ref="E43">SUMPRODUCT(('rohdaten_gemini'!$A$2:$A$55=$B43)*('rohdaten_gemini'!$B$2:$B$55=E$1)*IF($C43="B1",'rohdaten_gemini'!$F$2:$F$55,'rohdaten_gemini'!$G$2:$G$55))</f>
        <v>750</v>
      </c>
      <c r="F43" s="3" cm="1">
        <f t="array" ref="F43">SUMPRODUCT(('rohdaten_gemini'!$A$2:$A$55=$B43)*('rohdaten_gemini'!$B$2:$B$55=F$1)*IF($C43="B1",'rohdaten_gemini'!$F$2:$F$55,'rohdaten_gemini'!$G$2:$G$55))</f>
        <v>800</v>
      </c>
      <c r="G43" s="2">
        <f t="shared" si="4"/>
        <v>783.33333333333337</v>
      </c>
      <c r="H43" s="3">
        <f t="shared" si="5"/>
        <v>50</v>
      </c>
      <c r="I43" s="4">
        <f t="shared" si="6"/>
        <v>3.6852144841891005E-2</v>
      </c>
      <c r="J43" s="5" t="str">
        <f t="shared" si="7"/>
        <v>nein</v>
      </c>
    </row>
    <row r="44" spans="1:10" x14ac:dyDescent="0.5">
      <c r="A44" s="1" t="s">
        <v>836</v>
      </c>
      <c r="B44" s="1" t="s">
        <v>67</v>
      </c>
      <c r="C44" s="1" t="s">
        <v>834</v>
      </c>
      <c r="D44" s="3" cm="1">
        <f t="array" ref="D44">SUMPRODUCT(('rohdaten_gemini'!$A$2:$A$55=$B44)*('rohdaten_gemini'!$B$2:$B$55=D$1)*IF($C44="B1",'rohdaten_gemini'!$F$2:$F$55,'rohdaten_gemini'!$G$2:$G$55))</f>
        <v>150000</v>
      </c>
      <c r="E44" s="3" cm="1">
        <f t="array" ref="E44">SUMPRODUCT(('rohdaten_gemini'!$A$2:$A$55=$B44)*('rohdaten_gemini'!$B$2:$B$55=E$1)*IF($C44="B1",'rohdaten_gemini'!$F$2:$F$55,'rohdaten_gemini'!$G$2:$G$55))</f>
        <v>200000</v>
      </c>
      <c r="F44" s="3" cm="1">
        <f t="array" ref="F44">SUMPRODUCT(('rohdaten_gemini'!$A$2:$A$55=$B44)*('rohdaten_gemini'!$B$2:$B$55=F$1)*IF($C44="B1",'rohdaten_gemini'!$F$2:$F$55,'rohdaten_gemini'!$G$2:$G$55))</f>
        <v>150000</v>
      </c>
      <c r="G44" s="2">
        <f t="shared" si="4"/>
        <v>166666.66666666666</v>
      </c>
      <c r="H44" s="3">
        <f t="shared" si="5"/>
        <v>50000</v>
      </c>
      <c r="I44" s="4">
        <f t="shared" si="6"/>
        <v>0.17320508075688801</v>
      </c>
      <c r="J44" s="5" t="str">
        <f t="shared" si="7"/>
        <v>JA</v>
      </c>
    </row>
    <row r="45" spans="1:10" x14ac:dyDescent="0.5">
      <c r="A45" s="1" t="s">
        <v>836</v>
      </c>
      <c r="B45" s="1" t="s">
        <v>67</v>
      </c>
      <c r="C45" s="1" t="s">
        <v>835</v>
      </c>
      <c r="D45" s="3" cm="1">
        <f t="array" ref="D45">SUMPRODUCT(('rohdaten_gemini'!$A$2:$A$55=$B45)*('rohdaten_gemini'!$B$2:$B$55=D$1)*IF($C45="B1",'rohdaten_gemini'!$F$2:$F$55,'rohdaten_gemini'!$G$2:$G$55))</f>
        <v>850</v>
      </c>
      <c r="E45" s="3" cm="1">
        <f t="array" ref="E45">SUMPRODUCT(('rohdaten_gemini'!$A$2:$A$55=$B45)*('rohdaten_gemini'!$B$2:$B$55=E$1)*IF($C45="B1",'rohdaten_gemini'!$F$2:$F$55,'rohdaten_gemini'!$G$2:$G$55))</f>
        <v>1200</v>
      </c>
      <c r="F45" s="3" cm="1">
        <f t="array" ref="F45">SUMPRODUCT(('rohdaten_gemini'!$A$2:$A$55=$B45)*('rohdaten_gemini'!$B$2:$B$55=F$1)*IF($C45="B1",'rohdaten_gemini'!$F$2:$F$55,'rohdaten_gemini'!$G$2:$G$55))</f>
        <v>1000</v>
      </c>
      <c r="G45" s="2">
        <f t="shared" si="4"/>
        <v>1016.6666666666666</v>
      </c>
      <c r="H45" s="3">
        <f t="shared" si="5"/>
        <v>350</v>
      </c>
      <c r="I45" s="4">
        <f t="shared" si="6"/>
        <v>0.17271563529266765</v>
      </c>
      <c r="J45" s="5" t="str">
        <f t="shared" si="7"/>
        <v>JA</v>
      </c>
    </row>
    <row r="46" spans="1:10" x14ac:dyDescent="0.5">
      <c r="A46" s="1" t="s">
        <v>836</v>
      </c>
      <c r="B46" s="1" t="s">
        <v>83</v>
      </c>
      <c r="C46" s="1" t="s">
        <v>834</v>
      </c>
      <c r="D46" s="3" cm="1">
        <f t="array" ref="D46">SUMPRODUCT(('rohdaten_gemini'!$A$2:$A$55=$B46)*('rohdaten_gemini'!$B$2:$B$55=D$1)*IF($C46="B1",'rohdaten_gemini'!$F$2:$F$55,'rohdaten_gemini'!$G$2:$G$55))</f>
        <v>150000</v>
      </c>
      <c r="E46" s="3" cm="1">
        <f t="array" ref="E46">SUMPRODUCT(('rohdaten_gemini'!$A$2:$A$55=$B46)*('rohdaten_gemini'!$B$2:$B$55=E$1)*IF($C46="B1",'rohdaten_gemini'!$F$2:$F$55,'rohdaten_gemini'!$G$2:$G$55))</f>
        <v>100000</v>
      </c>
      <c r="F46" s="3" cm="1">
        <f t="array" ref="F46">SUMPRODUCT(('rohdaten_gemini'!$A$2:$A$55=$B46)*('rohdaten_gemini'!$B$2:$B$55=F$1)*IF($C46="B1",'rohdaten_gemini'!$F$2:$F$55,'rohdaten_gemini'!$G$2:$G$55))</f>
        <v>100000</v>
      </c>
      <c r="G46" s="2">
        <f t="shared" si="4"/>
        <v>116666.66666666667</v>
      </c>
      <c r="H46" s="3">
        <f t="shared" si="5"/>
        <v>50000</v>
      </c>
      <c r="I46" s="4">
        <f t="shared" si="6"/>
        <v>0.24743582965269656</v>
      </c>
      <c r="J46" s="5" t="str">
        <f t="shared" si="7"/>
        <v>JA</v>
      </c>
    </row>
    <row r="47" spans="1:10" x14ac:dyDescent="0.5">
      <c r="A47" s="1" t="s">
        <v>836</v>
      </c>
      <c r="B47" s="1" t="s">
        <v>83</v>
      </c>
      <c r="C47" s="1" t="s">
        <v>835</v>
      </c>
      <c r="D47" s="3" cm="1">
        <f t="array" ref="D47">SUMPRODUCT(('rohdaten_gemini'!$A$2:$A$55=$B47)*('rohdaten_gemini'!$B$2:$B$55=D$1)*IF($C47="B1",'rohdaten_gemini'!$F$2:$F$55,'rohdaten_gemini'!$G$2:$G$55))</f>
        <v>900</v>
      </c>
      <c r="E47" s="3" cm="1">
        <f t="array" ref="E47">SUMPRODUCT(('rohdaten_gemini'!$A$2:$A$55=$B47)*('rohdaten_gemini'!$B$2:$B$55=E$1)*IF($C47="B1",'rohdaten_gemini'!$F$2:$F$55,'rohdaten_gemini'!$G$2:$G$55))</f>
        <v>800</v>
      </c>
      <c r="F47" s="3" cm="1">
        <f t="array" ref="F47">SUMPRODUCT(('rohdaten_gemini'!$A$2:$A$55=$B47)*('rohdaten_gemini'!$B$2:$B$55=F$1)*IF($C47="B1",'rohdaten_gemini'!$F$2:$F$55,'rohdaten_gemini'!$G$2:$G$55))</f>
        <v>800</v>
      </c>
      <c r="G47" s="2">
        <f t="shared" si="4"/>
        <v>833.33333333333337</v>
      </c>
      <c r="H47" s="3">
        <f t="shared" si="5"/>
        <v>100</v>
      </c>
      <c r="I47" s="4">
        <f t="shared" si="6"/>
        <v>6.9282032302755092E-2</v>
      </c>
      <c r="J47" s="5" t="str">
        <f t="shared" si="7"/>
        <v>JA</v>
      </c>
    </row>
    <row r="48" spans="1:10" x14ac:dyDescent="0.5">
      <c r="A48" s="1" t="s">
        <v>836</v>
      </c>
      <c r="B48" s="1" t="s">
        <v>99</v>
      </c>
      <c r="C48" s="1" t="s">
        <v>834</v>
      </c>
      <c r="D48" s="3" cm="1">
        <f t="array" ref="D48">SUMPRODUCT(('rohdaten_gemini'!$A$2:$A$55=$B48)*('rohdaten_gemini'!$B$2:$B$55=D$1)*IF($C48="B1",'rohdaten_gemini'!$F$2:$F$55,'rohdaten_gemini'!$G$2:$G$55))</f>
        <v>200000</v>
      </c>
      <c r="E48" s="3" cm="1">
        <f t="array" ref="E48">SUMPRODUCT(('rohdaten_gemini'!$A$2:$A$55=$B48)*('rohdaten_gemini'!$B$2:$B$55=E$1)*IF($C48="B1",'rohdaten_gemini'!$F$2:$F$55,'rohdaten_gemini'!$G$2:$G$55))</f>
        <v>150000</v>
      </c>
      <c r="F48" s="3" cm="1">
        <f t="array" ref="F48">SUMPRODUCT(('rohdaten_gemini'!$A$2:$A$55=$B48)*('rohdaten_gemini'!$B$2:$B$55=F$1)*IF($C48="B1",'rohdaten_gemini'!$F$2:$F$55,'rohdaten_gemini'!$G$2:$G$55))</f>
        <v>150000</v>
      </c>
      <c r="G48" s="2">
        <f t="shared" si="4"/>
        <v>166666.66666666666</v>
      </c>
      <c r="H48" s="3">
        <f t="shared" si="5"/>
        <v>50000</v>
      </c>
      <c r="I48" s="4">
        <f t="shared" si="6"/>
        <v>0.17320508075688801</v>
      </c>
      <c r="J48" s="5" t="str">
        <f t="shared" si="7"/>
        <v>JA</v>
      </c>
    </row>
    <row r="49" spans="1:10" x14ac:dyDescent="0.5">
      <c r="A49" s="1" t="s">
        <v>836</v>
      </c>
      <c r="B49" s="1" t="s">
        <v>99</v>
      </c>
      <c r="C49" s="1" t="s">
        <v>835</v>
      </c>
      <c r="D49" s="3" cm="1">
        <f t="array" ref="D49">SUMPRODUCT(('rohdaten_gemini'!$A$2:$A$55=$B49)*('rohdaten_gemini'!$B$2:$B$55=D$1)*IF($C49="B1",'rohdaten_gemini'!$F$2:$F$55,'rohdaten_gemini'!$G$2:$G$55))</f>
        <v>1000</v>
      </c>
      <c r="E49" s="3" cm="1">
        <f t="array" ref="E49">SUMPRODUCT(('rohdaten_gemini'!$A$2:$A$55=$B49)*('rohdaten_gemini'!$B$2:$B$55=E$1)*IF($C49="B1",'rohdaten_gemini'!$F$2:$F$55,'rohdaten_gemini'!$G$2:$G$55))</f>
        <v>850</v>
      </c>
      <c r="F49" s="3" cm="1">
        <f t="array" ref="F49">SUMPRODUCT(('rohdaten_gemini'!$A$2:$A$55=$B49)*('rohdaten_gemini'!$B$2:$B$55=F$1)*IF($C49="B1",'rohdaten_gemini'!$F$2:$F$55,'rohdaten_gemini'!$G$2:$G$55))</f>
        <v>1000</v>
      </c>
      <c r="G49" s="2">
        <f t="shared" si="4"/>
        <v>950</v>
      </c>
      <c r="H49" s="3">
        <f t="shared" si="5"/>
        <v>150</v>
      </c>
      <c r="I49" s="4">
        <f t="shared" si="6"/>
        <v>9.1160568819414589E-2</v>
      </c>
      <c r="J49" s="5" t="str">
        <f t="shared" si="7"/>
        <v>JA</v>
      </c>
    </row>
    <row r="50" spans="1:10" x14ac:dyDescent="0.5">
      <c r="A50" s="1" t="s">
        <v>836</v>
      </c>
      <c r="B50" s="1" t="s">
        <v>115</v>
      </c>
      <c r="C50" s="1" t="s">
        <v>834</v>
      </c>
      <c r="D50" s="3" cm="1">
        <f t="array" ref="D50">SUMPRODUCT(('rohdaten_gemini'!$A$2:$A$55=$B50)*('rohdaten_gemini'!$B$2:$B$55=D$1)*IF($C50="B1",'rohdaten_gemini'!$F$2:$F$55,'rohdaten_gemini'!$G$2:$G$55))</f>
        <v>168000</v>
      </c>
      <c r="E50" s="3" cm="1">
        <f t="array" ref="E50">SUMPRODUCT(('rohdaten_gemini'!$A$2:$A$55=$B50)*('rohdaten_gemini'!$B$2:$B$55=E$1)*IF($C50="B1",'rohdaten_gemini'!$F$2:$F$55,'rohdaten_gemini'!$G$2:$G$55))</f>
        <v>168000</v>
      </c>
      <c r="F50" s="3" cm="1">
        <f t="array" ref="F50">SUMPRODUCT(('rohdaten_gemini'!$A$2:$A$55=$B50)*('rohdaten_gemini'!$B$2:$B$55=F$1)*IF($C50="B1",'rohdaten_gemini'!$F$2:$F$55,'rohdaten_gemini'!$G$2:$G$55))</f>
        <v>150000</v>
      </c>
      <c r="G50" s="2">
        <f t="shared" si="4"/>
        <v>162000</v>
      </c>
      <c r="H50" s="3">
        <f t="shared" si="5"/>
        <v>18000</v>
      </c>
      <c r="I50" s="4">
        <f t="shared" si="6"/>
        <v>6.4150029909958425E-2</v>
      </c>
      <c r="J50" s="5" t="str">
        <f t="shared" si="7"/>
        <v>JA</v>
      </c>
    </row>
    <row r="51" spans="1:10" x14ac:dyDescent="0.5">
      <c r="A51" s="1" t="s">
        <v>836</v>
      </c>
      <c r="B51" s="1" t="s">
        <v>115</v>
      </c>
      <c r="C51" s="1" t="s">
        <v>835</v>
      </c>
      <c r="D51" s="3" cm="1">
        <f t="array" ref="D51">SUMPRODUCT(('rohdaten_gemini'!$A$2:$A$55=$B51)*('rohdaten_gemini'!$B$2:$B$55=D$1)*IF($C51="B1",'rohdaten_gemini'!$F$2:$F$55,'rohdaten_gemini'!$G$2:$G$55))</f>
        <v>1350</v>
      </c>
      <c r="E51" s="3" cm="1">
        <f t="array" ref="E51">SUMPRODUCT(('rohdaten_gemini'!$A$2:$A$55=$B51)*('rohdaten_gemini'!$B$2:$B$55=E$1)*IF($C51="B1",'rohdaten_gemini'!$F$2:$F$55,'rohdaten_gemini'!$G$2:$G$55))</f>
        <v>1200</v>
      </c>
      <c r="F51" s="3" cm="1">
        <f t="array" ref="F51">SUMPRODUCT(('rohdaten_gemini'!$A$2:$A$55=$B51)*('rohdaten_gemini'!$B$2:$B$55=F$1)*IF($C51="B1",'rohdaten_gemini'!$F$2:$F$55,'rohdaten_gemini'!$G$2:$G$55))</f>
        <v>1200</v>
      </c>
      <c r="G51" s="2">
        <f t="shared" si="4"/>
        <v>1250</v>
      </c>
      <c r="H51" s="3">
        <f t="shared" si="5"/>
        <v>150</v>
      </c>
      <c r="I51" s="4">
        <f t="shared" si="6"/>
        <v>6.9282032302755092E-2</v>
      </c>
      <c r="J51" s="5" t="str">
        <f t="shared" si="7"/>
        <v>JA</v>
      </c>
    </row>
    <row r="52" spans="1:10" x14ac:dyDescent="0.5">
      <c r="A52" s="1" t="s">
        <v>836</v>
      </c>
      <c r="B52" s="1" t="s">
        <v>131</v>
      </c>
      <c r="C52" s="1" t="s">
        <v>834</v>
      </c>
      <c r="D52" s="3" cm="1">
        <f t="array" ref="D52">SUMPRODUCT(('rohdaten_gemini'!$A$2:$A$55=$B52)*('rohdaten_gemini'!$B$2:$B$55=D$1)*IF($C52="B1",'rohdaten_gemini'!$F$2:$F$55,'rohdaten_gemini'!$G$2:$G$55))</f>
        <v>250000</v>
      </c>
      <c r="E52" s="3" cm="1">
        <f t="array" ref="E52">SUMPRODUCT(('rohdaten_gemini'!$A$2:$A$55=$B52)*('rohdaten_gemini'!$B$2:$B$55=E$1)*IF($C52="B1",'rohdaten_gemini'!$F$2:$F$55,'rohdaten_gemini'!$G$2:$G$55))</f>
        <v>200000</v>
      </c>
      <c r="F52" s="3" cm="1">
        <f t="array" ref="F52">SUMPRODUCT(('rohdaten_gemini'!$A$2:$A$55=$B52)*('rohdaten_gemini'!$B$2:$B$55=F$1)*IF($C52="B1",'rohdaten_gemini'!$F$2:$F$55,'rohdaten_gemini'!$G$2:$G$55))</f>
        <v>300000</v>
      </c>
      <c r="G52" s="2">
        <f t="shared" si="4"/>
        <v>250000</v>
      </c>
      <c r="H52" s="3">
        <f t="shared" si="5"/>
        <v>100000</v>
      </c>
      <c r="I52" s="4">
        <f t="shared" si="6"/>
        <v>0.2</v>
      </c>
      <c r="J52" s="5" t="str">
        <f t="shared" si="7"/>
        <v>JA</v>
      </c>
    </row>
    <row r="53" spans="1:10" x14ac:dyDescent="0.5">
      <c r="A53" s="1" t="s">
        <v>836</v>
      </c>
      <c r="B53" s="1" t="s">
        <v>131</v>
      </c>
      <c r="C53" s="1" t="s">
        <v>835</v>
      </c>
      <c r="D53" s="3" cm="1">
        <f t="array" ref="D53">SUMPRODUCT(('rohdaten_gemini'!$A$2:$A$55=$B53)*('rohdaten_gemini'!$B$2:$B$55=D$1)*IF($C53="B1",'rohdaten_gemini'!$F$2:$F$55,'rohdaten_gemini'!$G$2:$G$55))</f>
        <v>1800</v>
      </c>
      <c r="E53" s="3" cm="1">
        <f t="array" ref="E53">SUMPRODUCT(('rohdaten_gemini'!$A$2:$A$55=$B53)*('rohdaten_gemini'!$B$2:$B$55=E$1)*IF($C53="B1",'rohdaten_gemini'!$F$2:$F$55,'rohdaten_gemini'!$G$2:$G$55))</f>
        <v>1400</v>
      </c>
      <c r="F53" s="3" cm="1">
        <f t="array" ref="F53">SUMPRODUCT(('rohdaten_gemini'!$A$2:$A$55=$B53)*('rohdaten_gemini'!$B$2:$B$55=F$1)*IF($C53="B1",'rohdaten_gemini'!$F$2:$F$55,'rohdaten_gemini'!$G$2:$G$55))</f>
        <v>1400</v>
      </c>
      <c r="G53" s="2">
        <f t="shared" si="4"/>
        <v>1533.3333333333333</v>
      </c>
      <c r="H53" s="3">
        <f t="shared" si="5"/>
        <v>400</v>
      </c>
      <c r="I53" s="4">
        <f t="shared" si="6"/>
        <v>0.15061311370164174</v>
      </c>
      <c r="J53" s="5" t="str">
        <f t="shared" si="7"/>
        <v>JA</v>
      </c>
    </row>
    <row r="54" spans="1:10" x14ac:dyDescent="0.5">
      <c r="A54" s="1" t="s">
        <v>836</v>
      </c>
      <c r="B54" s="1" t="s">
        <v>147</v>
      </c>
      <c r="C54" s="1" t="s">
        <v>834</v>
      </c>
      <c r="D54" s="3" cm="1">
        <f t="array" ref="D54">SUMPRODUCT(('rohdaten_gemini'!$A$2:$A$55=$B54)*('rohdaten_gemini'!$B$2:$B$55=D$1)*IF($C54="B1",'rohdaten_gemini'!$F$2:$F$55,'rohdaten_gemini'!$G$2:$G$55))</f>
        <v>150000</v>
      </c>
      <c r="E54" s="3" cm="1">
        <f t="array" ref="E54">SUMPRODUCT(('rohdaten_gemini'!$A$2:$A$55=$B54)*('rohdaten_gemini'!$B$2:$B$55=E$1)*IF($C54="B1",'rohdaten_gemini'!$F$2:$F$55,'rohdaten_gemini'!$G$2:$G$55))</f>
        <v>150000</v>
      </c>
      <c r="F54" s="3" cm="1">
        <f t="array" ref="F54">SUMPRODUCT(('rohdaten_gemini'!$A$2:$A$55=$B54)*('rohdaten_gemini'!$B$2:$B$55=F$1)*IF($C54="B1",'rohdaten_gemini'!$F$2:$F$55,'rohdaten_gemini'!$G$2:$G$55))</f>
        <v>200000</v>
      </c>
      <c r="G54" s="2">
        <f t="shared" si="4"/>
        <v>166666.66666666666</v>
      </c>
      <c r="H54" s="3">
        <f t="shared" si="5"/>
        <v>50000</v>
      </c>
      <c r="I54" s="4">
        <f t="shared" si="6"/>
        <v>0.17320508075688801</v>
      </c>
      <c r="J54" s="5" t="str">
        <f t="shared" si="7"/>
        <v>JA</v>
      </c>
    </row>
    <row r="55" spans="1:10" x14ac:dyDescent="0.5">
      <c r="A55" s="1" t="s">
        <v>836</v>
      </c>
      <c r="B55" s="1" t="s">
        <v>147</v>
      </c>
      <c r="C55" s="1" t="s">
        <v>835</v>
      </c>
      <c r="D55" s="3" cm="1">
        <f t="array" ref="D55">SUMPRODUCT(('rohdaten_gemini'!$A$2:$A$55=$B55)*('rohdaten_gemini'!$B$2:$B$55=D$1)*IF($C55="B1",'rohdaten_gemini'!$F$2:$F$55,'rohdaten_gemini'!$G$2:$G$55))</f>
        <v>1350</v>
      </c>
      <c r="E55" s="3" cm="1">
        <f t="array" ref="E55">SUMPRODUCT(('rohdaten_gemini'!$A$2:$A$55=$B55)*('rohdaten_gemini'!$B$2:$B$55=E$1)*IF($C55="B1",'rohdaten_gemini'!$F$2:$F$55,'rohdaten_gemini'!$G$2:$G$55))</f>
        <v>1350</v>
      </c>
      <c r="F55" s="3" cm="1">
        <f t="array" ref="F55">SUMPRODUCT(('rohdaten_gemini'!$A$2:$A$55=$B55)*('rohdaten_gemini'!$B$2:$B$55=F$1)*IF($C55="B1",'rohdaten_gemini'!$F$2:$F$55,'rohdaten_gemini'!$G$2:$G$55))</f>
        <v>1200</v>
      </c>
      <c r="G55" s="2">
        <f t="shared" si="4"/>
        <v>1300</v>
      </c>
      <c r="H55" s="3">
        <f t="shared" si="5"/>
        <v>150</v>
      </c>
      <c r="I55" s="4">
        <f t="shared" si="6"/>
        <v>6.6617338752649122E-2</v>
      </c>
      <c r="J55" s="5" t="str">
        <f t="shared" si="7"/>
        <v>JA</v>
      </c>
    </row>
    <row r="56" spans="1:10" x14ac:dyDescent="0.5">
      <c r="A56" s="1" t="s">
        <v>836</v>
      </c>
      <c r="B56" s="1" t="s">
        <v>163</v>
      </c>
      <c r="C56" s="1" t="s">
        <v>834</v>
      </c>
      <c r="D56" s="3" cm="1">
        <f t="array" ref="D56">SUMPRODUCT(('rohdaten_gemini'!$A$2:$A$55=$B56)*('rohdaten_gemini'!$B$2:$B$55=D$1)*IF($C56="B1",'rohdaten_gemini'!$F$2:$F$55,'rohdaten_gemini'!$G$2:$G$55))</f>
        <v>250000</v>
      </c>
      <c r="E56" s="3" cm="1">
        <f t="array" ref="E56">SUMPRODUCT(('rohdaten_gemini'!$A$2:$A$55=$B56)*('rohdaten_gemini'!$B$2:$B$55=E$1)*IF($C56="B1",'rohdaten_gemini'!$F$2:$F$55,'rohdaten_gemini'!$G$2:$G$55))</f>
        <v>210000</v>
      </c>
      <c r="F56" s="3" cm="1">
        <f t="array" ref="F56">SUMPRODUCT(('rohdaten_gemini'!$A$2:$A$55=$B56)*('rohdaten_gemini'!$B$2:$B$55=F$1)*IF($C56="B1",'rohdaten_gemini'!$F$2:$F$55,'rohdaten_gemini'!$G$2:$G$55))</f>
        <v>300000</v>
      </c>
      <c r="G56" s="2">
        <f t="shared" si="4"/>
        <v>253333.33333333334</v>
      </c>
      <c r="H56" s="3">
        <f t="shared" si="5"/>
        <v>90000</v>
      </c>
      <c r="I56" s="4">
        <f t="shared" si="6"/>
        <v>0.17799670076932456</v>
      </c>
      <c r="J56" s="5" t="str">
        <f t="shared" si="7"/>
        <v>JA</v>
      </c>
    </row>
    <row r="57" spans="1:10" x14ac:dyDescent="0.5">
      <c r="A57" s="1" t="s">
        <v>836</v>
      </c>
      <c r="B57" s="1" t="s">
        <v>163</v>
      </c>
      <c r="C57" s="1" t="s">
        <v>835</v>
      </c>
      <c r="D57" s="3" cm="1">
        <f t="array" ref="D57">SUMPRODUCT(('rohdaten_gemini'!$A$2:$A$55=$B57)*('rohdaten_gemini'!$B$2:$B$55=D$1)*IF($C57="B1",'rohdaten_gemini'!$F$2:$F$55,'rohdaten_gemini'!$G$2:$G$55))</f>
        <v>1350</v>
      </c>
      <c r="E57" s="3" cm="1">
        <f t="array" ref="E57">SUMPRODUCT(('rohdaten_gemini'!$A$2:$A$55=$B57)*('rohdaten_gemini'!$B$2:$B$55=E$1)*IF($C57="B1",'rohdaten_gemini'!$F$2:$F$55,'rohdaten_gemini'!$G$2:$G$55))</f>
        <v>1350</v>
      </c>
      <c r="F57" s="3" cm="1">
        <f t="array" ref="F57">SUMPRODUCT(('rohdaten_gemini'!$A$2:$A$55=$B57)*('rohdaten_gemini'!$B$2:$B$55=F$1)*IF($C57="B1",'rohdaten_gemini'!$F$2:$F$55,'rohdaten_gemini'!$G$2:$G$55))</f>
        <v>1500</v>
      </c>
      <c r="G57" s="2">
        <f t="shared" si="4"/>
        <v>1400</v>
      </c>
      <c r="H57" s="3">
        <f t="shared" si="5"/>
        <v>150</v>
      </c>
      <c r="I57" s="4">
        <f t="shared" si="6"/>
        <v>6.1858957413174188E-2</v>
      </c>
      <c r="J57" s="5" t="str">
        <f t="shared" si="7"/>
        <v>JA</v>
      </c>
    </row>
    <row r="58" spans="1:10" x14ac:dyDescent="0.5">
      <c r="A58" s="1" t="s">
        <v>836</v>
      </c>
      <c r="B58" s="1" t="s">
        <v>179</v>
      </c>
      <c r="C58" s="1" t="s">
        <v>834</v>
      </c>
      <c r="D58" s="3" cm="1">
        <f t="array" ref="D58">SUMPRODUCT(('rohdaten_gemini'!$A$2:$A$55=$B58)*('rohdaten_gemini'!$B$2:$B$55=D$1)*IF($C58="B1",'rohdaten_gemini'!$F$2:$F$55,'rohdaten_gemini'!$G$2:$G$55))</f>
        <v>150000</v>
      </c>
      <c r="E58" s="3" cm="1">
        <f t="array" ref="E58">SUMPRODUCT(('rohdaten_gemini'!$A$2:$A$55=$B58)*('rohdaten_gemini'!$B$2:$B$55=E$1)*IF($C58="B1",'rohdaten_gemini'!$F$2:$F$55,'rohdaten_gemini'!$G$2:$G$55))</f>
        <v>200000</v>
      </c>
      <c r="F58" s="3" cm="1">
        <f t="array" ref="F58">SUMPRODUCT(('rohdaten_gemini'!$A$2:$A$55=$B58)*('rohdaten_gemini'!$B$2:$B$55=F$1)*IF($C58="B1",'rohdaten_gemini'!$F$2:$F$55,'rohdaten_gemini'!$G$2:$G$55))</f>
        <v>168000</v>
      </c>
      <c r="G58" s="2">
        <f t="shared" si="4"/>
        <v>172666.66666666666</v>
      </c>
      <c r="H58" s="3">
        <f t="shared" si="5"/>
        <v>50000</v>
      </c>
      <c r="I58" s="4">
        <f t="shared" si="6"/>
        <v>0.14666733523724029</v>
      </c>
      <c r="J58" s="5" t="str">
        <f t="shared" si="7"/>
        <v>JA</v>
      </c>
    </row>
    <row r="59" spans="1:10" x14ac:dyDescent="0.5">
      <c r="A59" s="1" t="s">
        <v>836</v>
      </c>
      <c r="B59" s="1" t="s">
        <v>179</v>
      </c>
      <c r="C59" s="1" t="s">
        <v>835</v>
      </c>
      <c r="D59" s="3" cm="1">
        <f t="array" ref="D59">SUMPRODUCT(('rohdaten_gemini'!$A$2:$A$55=$B59)*('rohdaten_gemini'!$B$2:$B$55=D$1)*IF($C59="B1",'rohdaten_gemini'!$F$2:$F$55,'rohdaten_gemini'!$G$2:$G$55))</f>
        <v>1350</v>
      </c>
      <c r="E59" s="3" cm="1">
        <f t="array" ref="E59">SUMPRODUCT(('rohdaten_gemini'!$A$2:$A$55=$B59)*('rohdaten_gemini'!$B$2:$B$55=E$1)*IF($C59="B1",'rohdaten_gemini'!$F$2:$F$55,'rohdaten_gemini'!$G$2:$G$55))</f>
        <v>1500</v>
      </c>
      <c r="F59" s="3" cm="1">
        <f t="array" ref="F59">SUMPRODUCT(('rohdaten_gemini'!$A$2:$A$55=$B59)*('rohdaten_gemini'!$B$2:$B$55=F$1)*IF($C59="B1",'rohdaten_gemini'!$F$2:$F$55,'rohdaten_gemini'!$G$2:$G$55))</f>
        <v>1500</v>
      </c>
      <c r="G59" s="2">
        <f t="shared" si="4"/>
        <v>1450</v>
      </c>
      <c r="H59" s="3">
        <f t="shared" si="5"/>
        <v>150</v>
      </c>
      <c r="I59" s="4">
        <f t="shared" si="6"/>
        <v>5.972588991616818E-2</v>
      </c>
      <c r="J59" s="5" t="str">
        <f t="shared" si="7"/>
        <v>JA</v>
      </c>
    </row>
    <row r="60" spans="1:10" x14ac:dyDescent="0.5">
      <c r="A60" s="1" t="s">
        <v>836</v>
      </c>
      <c r="B60" s="1" t="s">
        <v>195</v>
      </c>
      <c r="C60" s="1" t="s">
        <v>834</v>
      </c>
      <c r="D60" s="3" cm="1">
        <f t="array" ref="D60">SUMPRODUCT(('rohdaten_gemini'!$A$2:$A$55=$B60)*('rohdaten_gemini'!$B$2:$B$55=D$1)*IF($C60="B1",'rohdaten_gemini'!$F$2:$F$55,'rohdaten_gemini'!$G$2:$G$55))</f>
        <v>300000</v>
      </c>
      <c r="E60" s="3" cm="1">
        <f t="array" ref="E60">SUMPRODUCT(('rohdaten_gemini'!$A$2:$A$55=$B60)*('rohdaten_gemini'!$B$2:$B$55=E$1)*IF($C60="B1",'rohdaten_gemini'!$F$2:$F$55,'rohdaten_gemini'!$G$2:$G$55))</f>
        <v>210000</v>
      </c>
      <c r="F60" s="3" cm="1">
        <f t="array" ref="F60">SUMPRODUCT(('rohdaten_gemini'!$A$2:$A$55=$B60)*('rohdaten_gemini'!$B$2:$B$55=F$1)*IF($C60="B1",'rohdaten_gemini'!$F$2:$F$55,'rohdaten_gemini'!$G$2:$G$55))</f>
        <v>210000</v>
      </c>
      <c r="G60" s="2">
        <f t="shared" si="4"/>
        <v>240000</v>
      </c>
      <c r="H60" s="3">
        <f t="shared" si="5"/>
        <v>90000</v>
      </c>
      <c r="I60" s="4">
        <f t="shared" si="6"/>
        <v>0.21650635094610968</v>
      </c>
      <c r="J60" s="5" t="str">
        <f t="shared" si="7"/>
        <v>JA</v>
      </c>
    </row>
    <row r="61" spans="1:10" x14ac:dyDescent="0.5">
      <c r="A61" s="1" t="s">
        <v>836</v>
      </c>
      <c r="B61" s="1" t="s">
        <v>195</v>
      </c>
      <c r="C61" s="1" t="s">
        <v>835</v>
      </c>
      <c r="D61" s="3" cm="1">
        <f t="array" ref="D61">SUMPRODUCT(('rohdaten_gemini'!$A$2:$A$55=$B61)*('rohdaten_gemini'!$B$2:$B$55=D$1)*IF($C61="B1",'rohdaten_gemini'!$F$2:$F$55,'rohdaten_gemini'!$G$2:$G$55))</f>
        <v>1500</v>
      </c>
      <c r="E61" s="3" cm="1">
        <f t="array" ref="E61">SUMPRODUCT(('rohdaten_gemini'!$A$2:$A$55=$B61)*('rohdaten_gemini'!$B$2:$B$55=E$1)*IF($C61="B1",'rohdaten_gemini'!$F$2:$F$55,'rohdaten_gemini'!$G$2:$G$55))</f>
        <v>1500</v>
      </c>
      <c r="F61" s="3" cm="1">
        <f t="array" ref="F61">SUMPRODUCT(('rohdaten_gemini'!$A$2:$A$55=$B61)*('rohdaten_gemini'!$B$2:$B$55=F$1)*IF($C61="B1",'rohdaten_gemini'!$F$2:$F$55,'rohdaten_gemini'!$G$2:$G$55))</f>
        <v>1500</v>
      </c>
      <c r="G61" s="2">
        <f t="shared" si="4"/>
        <v>1500</v>
      </c>
      <c r="H61" s="3">
        <f t="shared" si="5"/>
        <v>0</v>
      </c>
      <c r="I61" s="4">
        <f t="shared" si="6"/>
        <v>0</v>
      </c>
      <c r="J61" s="5" t="str">
        <f t="shared" si="7"/>
        <v>nein</v>
      </c>
    </row>
    <row r="62" spans="1:10" x14ac:dyDescent="0.5">
      <c r="A62" s="1" t="s">
        <v>836</v>
      </c>
      <c r="B62" s="1" t="s">
        <v>211</v>
      </c>
      <c r="C62" s="1" t="s">
        <v>834</v>
      </c>
      <c r="D62" s="3" cm="1">
        <f t="array" ref="D62">SUMPRODUCT(('rohdaten_gemini'!$A$2:$A$55=$B62)*('rohdaten_gemini'!$B$2:$B$55=D$1)*IF($C62="B1",'rohdaten_gemini'!$F$2:$F$55,'rohdaten_gemini'!$G$2:$G$55))</f>
        <v>150000</v>
      </c>
      <c r="E62" s="3" cm="1">
        <f t="array" ref="E62">SUMPRODUCT(('rohdaten_gemini'!$A$2:$A$55=$B62)*('rohdaten_gemini'!$B$2:$B$55=E$1)*IF($C62="B1",'rohdaten_gemini'!$F$2:$F$55,'rohdaten_gemini'!$G$2:$G$55))</f>
        <v>300000</v>
      </c>
      <c r="F62" s="3" cm="1">
        <f t="array" ref="F62">SUMPRODUCT(('rohdaten_gemini'!$A$2:$A$55=$B62)*('rohdaten_gemini'!$B$2:$B$55=F$1)*IF($C62="B1",'rohdaten_gemini'!$F$2:$F$55,'rohdaten_gemini'!$G$2:$G$55))</f>
        <v>200000</v>
      </c>
      <c r="G62" s="2">
        <f t="shared" si="4"/>
        <v>216666.66666666666</v>
      </c>
      <c r="H62" s="3">
        <f t="shared" si="5"/>
        <v>150000</v>
      </c>
      <c r="I62" s="4">
        <f t="shared" si="6"/>
        <v>0.35250582268891067</v>
      </c>
      <c r="J62" s="5" t="str">
        <f t="shared" si="7"/>
        <v>JA</v>
      </c>
    </row>
    <row r="63" spans="1:10" x14ac:dyDescent="0.5">
      <c r="A63" s="1" t="s">
        <v>836</v>
      </c>
      <c r="B63" s="1" t="s">
        <v>211</v>
      </c>
      <c r="C63" s="1" t="s">
        <v>835</v>
      </c>
      <c r="D63" s="3" cm="1">
        <f t="array" ref="D63">SUMPRODUCT(('rohdaten_gemini'!$A$2:$A$55=$B63)*('rohdaten_gemini'!$B$2:$B$55=D$1)*IF($C63="B1",'rohdaten_gemini'!$F$2:$F$55,'rohdaten_gemini'!$G$2:$G$55))</f>
        <v>3000</v>
      </c>
      <c r="E63" s="3" cm="1">
        <f t="array" ref="E63">SUMPRODUCT(('rohdaten_gemini'!$A$2:$A$55=$B63)*('rohdaten_gemini'!$B$2:$B$55=E$1)*IF($C63="B1",'rohdaten_gemini'!$F$2:$F$55,'rohdaten_gemini'!$G$2:$G$55))</f>
        <v>3000</v>
      </c>
      <c r="F63" s="3" cm="1">
        <f t="array" ref="F63">SUMPRODUCT(('rohdaten_gemini'!$A$2:$A$55=$B63)*('rohdaten_gemini'!$B$2:$B$55=F$1)*IF($C63="B1",'rohdaten_gemini'!$F$2:$F$55,'rohdaten_gemini'!$G$2:$G$55))</f>
        <v>3500</v>
      </c>
      <c r="G63" s="2">
        <f t="shared" si="4"/>
        <v>3166.6666666666665</v>
      </c>
      <c r="H63" s="3">
        <f t="shared" si="5"/>
        <v>500</v>
      </c>
      <c r="I63" s="4">
        <f t="shared" si="6"/>
        <v>9.1160568819414589E-2</v>
      </c>
      <c r="J63" s="5" t="str">
        <f t="shared" si="7"/>
        <v>JA</v>
      </c>
    </row>
    <row r="64" spans="1:10" x14ac:dyDescent="0.5">
      <c r="A64" s="1" t="s">
        <v>836</v>
      </c>
      <c r="B64" s="1" t="s">
        <v>227</v>
      </c>
      <c r="C64" s="1" t="s">
        <v>834</v>
      </c>
      <c r="D64" s="3" cm="1">
        <f t="array" ref="D64">SUMPRODUCT(('rohdaten_gemini'!$A$2:$A$55=$B64)*('rohdaten_gemini'!$B$2:$B$55=D$1)*IF($C64="B1",'rohdaten_gemini'!$F$2:$F$55,'rohdaten_gemini'!$G$2:$G$55))</f>
        <v>308000</v>
      </c>
      <c r="E64" s="3" cm="1">
        <f t="array" ref="E64">SUMPRODUCT(('rohdaten_gemini'!$A$2:$A$55=$B64)*('rohdaten_gemini'!$B$2:$B$55=E$1)*IF($C64="B1",'rohdaten_gemini'!$F$2:$F$55,'rohdaten_gemini'!$G$2:$G$55))</f>
        <v>400000</v>
      </c>
      <c r="F64" s="3" cm="1">
        <f t="array" ref="F64">SUMPRODUCT(('rohdaten_gemini'!$A$2:$A$55=$B64)*('rohdaten_gemini'!$B$2:$B$55=F$1)*IF($C64="B1",'rohdaten_gemini'!$F$2:$F$55,'rohdaten_gemini'!$G$2:$G$55))</f>
        <v>400000</v>
      </c>
      <c r="G64" s="2">
        <f t="shared" si="4"/>
        <v>369333.33333333331</v>
      </c>
      <c r="H64" s="3">
        <f t="shared" si="5"/>
        <v>92000</v>
      </c>
      <c r="I64" s="4">
        <f t="shared" si="6"/>
        <v>0.14381649304723557</v>
      </c>
      <c r="J64" s="5" t="str">
        <f t="shared" si="7"/>
        <v>JA</v>
      </c>
    </row>
    <row r="65" spans="1:10" x14ac:dyDescent="0.5">
      <c r="A65" s="1" t="s">
        <v>836</v>
      </c>
      <c r="B65" s="1" t="s">
        <v>227</v>
      </c>
      <c r="C65" s="1" t="s">
        <v>835</v>
      </c>
      <c r="D65" s="3" cm="1">
        <f t="array" ref="D65">SUMPRODUCT(('rohdaten_gemini'!$A$2:$A$55=$B65)*('rohdaten_gemini'!$B$2:$B$55=D$1)*IF($C65="B1",'rohdaten_gemini'!$F$2:$F$55,'rohdaten_gemini'!$G$2:$G$55))</f>
        <v>3300</v>
      </c>
      <c r="E65" s="3" cm="1">
        <f t="array" ref="E65">SUMPRODUCT(('rohdaten_gemini'!$A$2:$A$55=$B65)*('rohdaten_gemini'!$B$2:$B$55=E$1)*IF($C65="B1",'rohdaten_gemini'!$F$2:$F$55,'rohdaten_gemini'!$G$2:$G$55))</f>
        <v>3000</v>
      </c>
      <c r="F65" s="3" cm="1">
        <f t="array" ref="F65">SUMPRODUCT(('rohdaten_gemini'!$A$2:$A$55=$B65)*('rohdaten_gemini'!$B$2:$B$55=F$1)*IF($C65="B1",'rohdaten_gemini'!$F$2:$F$55,'rohdaten_gemini'!$G$2:$G$55))</f>
        <v>3500</v>
      </c>
      <c r="G65" s="2">
        <f t="shared" si="4"/>
        <v>3266.6666666666665</v>
      </c>
      <c r="H65" s="3">
        <f t="shared" si="5"/>
        <v>500</v>
      </c>
      <c r="I65" s="4">
        <f t="shared" si="6"/>
        <v>7.7039126890517867E-2</v>
      </c>
      <c r="J65" s="5" t="str">
        <f t="shared" si="7"/>
        <v>JA</v>
      </c>
    </row>
    <row r="66" spans="1:10" x14ac:dyDescent="0.5">
      <c r="A66" s="1" t="s">
        <v>836</v>
      </c>
      <c r="B66" s="1" t="s">
        <v>243</v>
      </c>
      <c r="C66" s="1" t="s">
        <v>834</v>
      </c>
      <c r="D66" s="3" cm="1">
        <f t="array" ref="D66">SUMPRODUCT(('rohdaten_gemini'!$A$2:$A$55=$B66)*('rohdaten_gemini'!$B$2:$B$55=D$1)*IF($C66="B1",'rohdaten_gemini'!$F$2:$F$55,'rohdaten_gemini'!$G$2:$G$55))</f>
        <v>400000</v>
      </c>
      <c r="E66" s="3" cm="1">
        <f t="array" ref="E66">SUMPRODUCT(('rohdaten_gemini'!$A$2:$A$55=$B66)*('rohdaten_gemini'!$B$2:$B$55=E$1)*IF($C66="B1",'rohdaten_gemini'!$F$2:$F$55,'rohdaten_gemini'!$G$2:$G$55))</f>
        <v>300000</v>
      </c>
      <c r="F66" s="3" cm="1">
        <f t="array" ref="F66">SUMPRODUCT(('rohdaten_gemini'!$A$2:$A$55=$B66)*('rohdaten_gemini'!$B$2:$B$55=F$1)*IF($C66="B1",'rohdaten_gemini'!$F$2:$F$55,'rohdaten_gemini'!$G$2:$G$55))</f>
        <v>300000</v>
      </c>
      <c r="G66" s="2">
        <f t="shared" ref="G66:G97" si="8">AVERAGE(D66:F66)</f>
        <v>333333.33333333331</v>
      </c>
      <c r="H66" s="3">
        <f t="shared" ref="H66:H97" si="9">MAX(D66:F66)-MIN(D66:F66)</f>
        <v>100000</v>
      </c>
      <c r="I66" s="4">
        <f t="shared" ref="I66:I97" si="10">IF(G66=0,0,STDEV(D66:F66)/G66)</f>
        <v>0.17320508075688801</v>
      </c>
      <c r="J66" s="5" t="str">
        <f t="shared" ref="J66:J97" si="11">IF(I66&gt;0.05,"JA","nein")</f>
        <v>JA</v>
      </c>
    </row>
    <row r="67" spans="1:10" x14ac:dyDescent="0.5">
      <c r="A67" s="1" t="s">
        <v>836</v>
      </c>
      <c r="B67" s="1" t="s">
        <v>243</v>
      </c>
      <c r="C67" s="1" t="s">
        <v>835</v>
      </c>
      <c r="D67" s="3" cm="1">
        <f t="array" ref="D67">SUMPRODUCT(('rohdaten_gemini'!$A$2:$A$55=$B67)*('rohdaten_gemini'!$B$2:$B$55=D$1)*IF($C67="B1",'rohdaten_gemini'!$F$2:$F$55,'rohdaten_gemini'!$G$2:$G$55))</f>
        <v>3300</v>
      </c>
      <c r="E67" s="3" cm="1">
        <f t="array" ref="E67">SUMPRODUCT(('rohdaten_gemini'!$A$2:$A$55=$B67)*('rohdaten_gemini'!$B$2:$B$55=E$1)*IF($C67="B1",'rohdaten_gemini'!$F$2:$F$55,'rohdaten_gemini'!$G$2:$G$55))</f>
        <v>3000</v>
      </c>
      <c r="F67" s="3" cm="1">
        <f t="array" ref="F67">SUMPRODUCT(('rohdaten_gemini'!$A$2:$A$55=$B67)*('rohdaten_gemini'!$B$2:$B$55=F$1)*IF($C67="B1",'rohdaten_gemini'!$F$2:$F$55,'rohdaten_gemini'!$G$2:$G$55))</f>
        <v>3000</v>
      </c>
      <c r="G67" s="2">
        <f t="shared" si="8"/>
        <v>3100</v>
      </c>
      <c r="H67" s="3">
        <f t="shared" si="9"/>
        <v>300</v>
      </c>
      <c r="I67" s="4">
        <f t="shared" si="10"/>
        <v>5.5872606695770231E-2</v>
      </c>
      <c r="J67" s="5" t="str">
        <f t="shared" si="11"/>
        <v>JA</v>
      </c>
    </row>
    <row r="68" spans="1:10" x14ac:dyDescent="0.5">
      <c r="A68" s="1" t="s">
        <v>836</v>
      </c>
      <c r="B68" s="1" t="s">
        <v>259</v>
      </c>
      <c r="C68" s="1" t="s">
        <v>834</v>
      </c>
      <c r="D68" s="3" cm="1">
        <f t="array" ref="D68">SUMPRODUCT(('rohdaten_gemini'!$A$2:$A$55=$B68)*('rohdaten_gemini'!$B$2:$B$55=D$1)*IF($C68="B1",'rohdaten_gemini'!$F$2:$F$55,'rohdaten_gemini'!$G$2:$G$55))</f>
        <v>400000</v>
      </c>
      <c r="E68" s="3" cm="1">
        <f t="array" ref="E68">SUMPRODUCT(('rohdaten_gemini'!$A$2:$A$55=$B68)*('rohdaten_gemini'!$B$2:$B$55=E$1)*IF($C68="B1",'rohdaten_gemini'!$F$2:$F$55,'rohdaten_gemini'!$G$2:$G$55))</f>
        <v>500000</v>
      </c>
      <c r="F68" s="3" cm="1">
        <f t="array" ref="F68">SUMPRODUCT(('rohdaten_gemini'!$A$2:$A$55=$B68)*('rohdaten_gemini'!$B$2:$B$55=F$1)*IF($C68="B1",'rohdaten_gemini'!$F$2:$F$55,'rohdaten_gemini'!$G$2:$G$55))</f>
        <v>400000</v>
      </c>
      <c r="G68" s="2">
        <f t="shared" si="8"/>
        <v>433333.33333333331</v>
      </c>
      <c r="H68" s="3">
        <f t="shared" si="9"/>
        <v>100000</v>
      </c>
      <c r="I68" s="4">
        <f t="shared" si="10"/>
        <v>0.13323467750529785</v>
      </c>
      <c r="J68" s="5" t="str">
        <f t="shared" si="11"/>
        <v>JA</v>
      </c>
    </row>
    <row r="69" spans="1:10" x14ac:dyDescent="0.5">
      <c r="A69" s="1" t="s">
        <v>836</v>
      </c>
      <c r="B69" s="1" t="s">
        <v>259</v>
      </c>
      <c r="C69" s="1" t="s">
        <v>835</v>
      </c>
      <c r="D69" s="3" cm="1">
        <f t="array" ref="D69">SUMPRODUCT(('rohdaten_gemini'!$A$2:$A$55=$B69)*('rohdaten_gemini'!$B$2:$B$55=D$1)*IF($C69="B1",'rohdaten_gemini'!$F$2:$F$55,'rohdaten_gemini'!$G$2:$G$55))</f>
        <v>3300</v>
      </c>
      <c r="E69" s="3" cm="1">
        <f t="array" ref="E69">SUMPRODUCT(('rohdaten_gemini'!$A$2:$A$55=$B69)*('rohdaten_gemini'!$B$2:$B$55=E$1)*IF($C69="B1",'rohdaten_gemini'!$F$2:$F$55,'rohdaten_gemini'!$G$2:$G$55))</f>
        <v>3300</v>
      </c>
      <c r="F69" s="3" cm="1">
        <f t="array" ref="F69">SUMPRODUCT(('rohdaten_gemini'!$A$2:$A$55=$B69)*('rohdaten_gemini'!$B$2:$B$55=F$1)*IF($C69="B1",'rohdaten_gemini'!$F$2:$F$55,'rohdaten_gemini'!$G$2:$G$55))</f>
        <v>3500</v>
      </c>
      <c r="G69" s="2">
        <f t="shared" si="8"/>
        <v>3366.6666666666665</v>
      </c>
      <c r="H69" s="3">
        <f t="shared" si="9"/>
        <v>200</v>
      </c>
      <c r="I69" s="4">
        <f t="shared" si="10"/>
        <v>3.4298035793443114E-2</v>
      </c>
      <c r="J69" s="5" t="str">
        <f t="shared" si="11"/>
        <v>nein</v>
      </c>
    </row>
    <row r="70" spans="1:10" x14ac:dyDescent="0.5">
      <c r="A70" s="1" t="s">
        <v>836</v>
      </c>
      <c r="B70" s="1" t="s">
        <v>275</v>
      </c>
      <c r="C70" s="1" t="s">
        <v>834</v>
      </c>
      <c r="D70" s="3" cm="1">
        <f t="array" ref="D70">SUMPRODUCT(('rohdaten_gemini'!$A$2:$A$55=$B70)*('rohdaten_gemini'!$B$2:$B$55=D$1)*IF($C70="B1",'rohdaten_gemini'!$F$2:$F$55,'rohdaten_gemini'!$G$2:$G$55))</f>
        <v>300000</v>
      </c>
      <c r="E70" s="3" cm="1">
        <f t="array" ref="E70">SUMPRODUCT(('rohdaten_gemini'!$A$2:$A$55=$B70)*('rohdaten_gemini'!$B$2:$B$55=E$1)*IF($C70="B1",'rohdaten_gemini'!$F$2:$F$55,'rohdaten_gemini'!$G$2:$G$55))</f>
        <v>250000</v>
      </c>
      <c r="F70" s="3" cm="1">
        <f t="array" ref="F70">SUMPRODUCT(('rohdaten_gemini'!$A$2:$A$55=$B70)*('rohdaten_gemini'!$B$2:$B$55=F$1)*IF($C70="B1",'rohdaten_gemini'!$F$2:$F$55,'rohdaten_gemini'!$G$2:$G$55))</f>
        <v>300000</v>
      </c>
      <c r="G70" s="2">
        <f t="shared" si="8"/>
        <v>283333.33333333331</v>
      </c>
      <c r="H70" s="3">
        <f t="shared" si="9"/>
        <v>50000</v>
      </c>
      <c r="I70" s="4">
        <f t="shared" si="10"/>
        <v>0.10188534162169867</v>
      </c>
      <c r="J70" s="5" t="str">
        <f t="shared" si="11"/>
        <v>JA</v>
      </c>
    </row>
    <row r="71" spans="1:10" x14ac:dyDescent="0.5">
      <c r="A71" s="1" t="s">
        <v>836</v>
      </c>
      <c r="B71" s="1" t="s">
        <v>275</v>
      </c>
      <c r="C71" s="1" t="s">
        <v>835</v>
      </c>
      <c r="D71" s="3" cm="1">
        <f t="array" ref="D71">SUMPRODUCT(('rohdaten_gemini'!$A$2:$A$55=$B71)*('rohdaten_gemini'!$B$2:$B$55=D$1)*IF($C71="B1",'rohdaten_gemini'!$F$2:$F$55,'rohdaten_gemini'!$G$2:$G$55))</f>
        <v>3000</v>
      </c>
      <c r="E71" s="3" cm="1">
        <f t="array" ref="E71">SUMPRODUCT(('rohdaten_gemini'!$A$2:$A$55=$B71)*('rohdaten_gemini'!$B$2:$B$55=E$1)*IF($C71="B1",'rohdaten_gemini'!$F$2:$F$55,'rohdaten_gemini'!$G$2:$G$55))</f>
        <v>3500</v>
      </c>
      <c r="F71" s="3" cm="1">
        <f t="array" ref="F71">SUMPRODUCT(('rohdaten_gemini'!$A$2:$A$55=$B71)*('rohdaten_gemini'!$B$2:$B$55=F$1)*IF($C71="B1",'rohdaten_gemini'!$F$2:$F$55,'rohdaten_gemini'!$G$2:$G$55))</f>
        <v>3000</v>
      </c>
      <c r="G71" s="2">
        <f t="shared" si="8"/>
        <v>3166.6666666666665</v>
      </c>
      <c r="H71" s="3">
        <f t="shared" si="9"/>
        <v>500</v>
      </c>
      <c r="I71" s="4">
        <f t="shared" si="10"/>
        <v>9.1160568819414589E-2</v>
      </c>
      <c r="J71" s="5" t="str">
        <f t="shared" si="11"/>
        <v>JA</v>
      </c>
    </row>
    <row r="72" spans="1:10" x14ac:dyDescent="0.5">
      <c r="A72" s="1" t="s">
        <v>836</v>
      </c>
      <c r="B72" s="1" t="s">
        <v>291</v>
      </c>
      <c r="C72" s="1" t="s">
        <v>834</v>
      </c>
      <c r="D72" s="3" cm="1">
        <f t="array" ref="D72">SUMPRODUCT(('rohdaten_gemini'!$A$2:$A$55=$B72)*('rohdaten_gemini'!$B$2:$B$55=D$1)*IF($C72="B1",'rohdaten_gemini'!$F$2:$F$55,'rohdaten_gemini'!$G$2:$G$55))</f>
        <v>400000</v>
      </c>
      <c r="E72" s="3" cm="1">
        <f t="array" ref="E72">SUMPRODUCT(('rohdaten_gemini'!$A$2:$A$55=$B72)*('rohdaten_gemini'!$B$2:$B$55=E$1)*IF($C72="B1",'rohdaten_gemini'!$F$2:$F$55,'rohdaten_gemini'!$G$2:$G$55))</f>
        <v>500000</v>
      </c>
      <c r="F72" s="3" cm="1">
        <f t="array" ref="F72">SUMPRODUCT(('rohdaten_gemini'!$A$2:$A$55=$B72)*('rohdaten_gemini'!$B$2:$B$55=F$1)*IF($C72="B1",'rohdaten_gemini'!$F$2:$F$55,'rohdaten_gemini'!$G$2:$G$55))</f>
        <v>400000</v>
      </c>
      <c r="G72" s="2">
        <f t="shared" si="8"/>
        <v>433333.33333333331</v>
      </c>
      <c r="H72" s="3">
        <f t="shared" si="9"/>
        <v>100000</v>
      </c>
      <c r="I72" s="4">
        <f t="shared" si="10"/>
        <v>0.13323467750529785</v>
      </c>
      <c r="J72" s="5" t="str">
        <f t="shared" si="11"/>
        <v>JA</v>
      </c>
    </row>
    <row r="73" spans="1:10" x14ac:dyDescent="0.5">
      <c r="A73" s="1" t="s">
        <v>836</v>
      </c>
      <c r="B73" s="1" t="s">
        <v>291</v>
      </c>
      <c r="C73" s="1" t="s">
        <v>835</v>
      </c>
      <c r="D73" s="3" cm="1">
        <f t="array" ref="D73">SUMPRODUCT(('rohdaten_gemini'!$A$2:$A$55=$B73)*('rohdaten_gemini'!$B$2:$B$55=D$1)*IF($C73="B1",'rohdaten_gemini'!$F$2:$F$55,'rohdaten_gemini'!$G$2:$G$55))</f>
        <v>3300</v>
      </c>
      <c r="E73" s="3" cm="1">
        <f t="array" ref="E73">SUMPRODUCT(('rohdaten_gemini'!$A$2:$A$55=$B73)*('rohdaten_gemini'!$B$2:$B$55=E$1)*IF($C73="B1",'rohdaten_gemini'!$F$2:$F$55,'rohdaten_gemini'!$G$2:$G$55))</f>
        <v>3500</v>
      </c>
      <c r="F73" s="3" cm="1">
        <f t="array" ref="F73">SUMPRODUCT(('rohdaten_gemini'!$A$2:$A$55=$B73)*('rohdaten_gemini'!$B$2:$B$55=F$1)*IF($C73="B1",'rohdaten_gemini'!$F$2:$F$55,'rohdaten_gemini'!$G$2:$G$55))</f>
        <v>3000</v>
      </c>
      <c r="G73" s="2">
        <f t="shared" si="8"/>
        <v>3266.6666666666665</v>
      </c>
      <c r="H73" s="3">
        <f t="shared" si="9"/>
        <v>500</v>
      </c>
      <c r="I73" s="4">
        <f t="shared" si="10"/>
        <v>7.7039126890517867E-2</v>
      </c>
      <c r="J73" s="5" t="str">
        <f t="shared" si="11"/>
        <v>JA</v>
      </c>
    </row>
    <row r="74" spans="1:10" x14ac:dyDescent="0.5">
      <c r="A74" s="1" t="s">
        <v>837</v>
      </c>
      <c r="B74" s="1" t="s">
        <v>14</v>
      </c>
      <c r="C74" s="1" t="s">
        <v>834</v>
      </c>
      <c r="D74" s="3" cm="1">
        <f t="array" ref="D74">SUMPRODUCT(('rohdaten_gpt'!$A$2:$A$55=$B74)*('rohdaten_gpt'!$B$2:$B$55=D$1)*IF($C74="B1",'rohdaten_gpt'!$F$2:$F$55,'rohdaten_gpt'!$G$2:$G$55))</f>
        <v>50000</v>
      </c>
      <c r="E74" s="3" cm="1">
        <f t="array" ref="E74">SUMPRODUCT(('rohdaten_gpt'!$A$2:$A$55=$B74)*('rohdaten_gpt'!$B$2:$B$55=E$1)*IF($C74="B1",'rohdaten_gpt'!$F$2:$F$55,'rohdaten_gpt'!$G$2:$G$55))</f>
        <v>50000</v>
      </c>
      <c r="F74" s="3" cm="1">
        <f t="array" ref="F74">SUMPRODUCT(('rohdaten_gpt'!$A$2:$A$55=$B74)*('rohdaten_gpt'!$B$2:$B$55=F$1)*IF($C74="B1",'rohdaten_gpt'!$F$2:$F$55,'rohdaten_gpt'!$G$2:$G$55))</f>
        <v>50000</v>
      </c>
      <c r="G74" s="2">
        <f t="shared" si="8"/>
        <v>50000</v>
      </c>
      <c r="H74" s="3">
        <f t="shared" si="9"/>
        <v>0</v>
      </c>
      <c r="I74" s="4">
        <f t="shared" si="10"/>
        <v>0</v>
      </c>
      <c r="J74" s="5" t="str">
        <f t="shared" si="11"/>
        <v>nein</v>
      </c>
    </row>
    <row r="75" spans="1:10" x14ac:dyDescent="0.5">
      <c r="A75" s="1" t="s">
        <v>837</v>
      </c>
      <c r="B75" s="1" t="s">
        <v>14</v>
      </c>
      <c r="C75" s="1" t="s">
        <v>835</v>
      </c>
      <c r="D75" s="3" cm="1">
        <f t="array" ref="D75">SUMPRODUCT(('rohdaten_gpt'!$A$2:$A$55=$B75)*('rohdaten_gpt'!$B$2:$B$55=D$1)*IF($C75="B1",'rohdaten_gpt'!$F$2:$F$55,'rohdaten_gpt'!$G$2:$G$55))</f>
        <v>500</v>
      </c>
      <c r="E75" s="3" cm="1">
        <f t="array" ref="E75">SUMPRODUCT(('rohdaten_gpt'!$A$2:$A$55=$B75)*('rohdaten_gpt'!$B$2:$B$55=E$1)*IF($C75="B1",'rohdaten_gpt'!$F$2:$F$55,'rohdaten_gpt'!$G$2:$G$55))</f>
        <v>900</v>
      </c>
      <c r="F75" s="3" cm="1">
        <f t="array" ref="F75">SUMPRODUCT(('rohdaten_gpt'!$A$2:$A$55=$B75)*('rohdaten_gpt'!$B$2:$B$55=F$1)*IF($C75="B1",'rohdaten_gpt'!$F$2:$F$55,'rohdaten_gpt'!$G$2:$G$55))</f>
        <v>900</v>
      </c>
      <c r="G75" s="2">
        <f t="shared" si="8"/>
        <v>766.66666666666663</v>
      </c>
      <c r="H75" s="3">
        <f t="shared" si="9"/>
        <v>400</v>
      </c>
      <c r="I75" s="4">
        <f t="shared" si="10"/>
        <v>0.30122622740328314</v>
      </c>
      <c r="J75" s="5" t="str">
        <f t="shared" si="11"/>
        <v>JA</v>
      </c>
    </row>
    <row r="76" spans="1:10" x14ac:dyDescent="0.5">
      <c r="A76" s="1" t="s">
        <v>837</v>
      </c>
      <c r="B76" s="1" t="s">
        <v>35</v>
      </c>
      <c r="C76" s="1" t="s">
        <v>834</v>
      </c>
      <c r="D76" s="3" cm="1">
        <f t="array" ref="D76">SUMPRODUCT(('rohdaten_gpt'!$A$2:$A$55=$B76)*('rohdaten_gpt'!$B$2:$B$55=D$1)*IF($C76="B1",'rohdaten_gpt'!$F$2:$F$55,'rohdaten_gpt'!$G$2:$G$55))</f>
        <v>50000</v>
      </c>
      <c r="E76" s="3" cm="1">
        <f t="array" ref="E76">SUMPRODUCT(('rohdaten_gpt'!$A$2:$A$55=$B76)*('rohdaten_gpt'!$B$2:$B$55=E$1)*IF($C76="B1",'rohdaten_gpt'!$F$2:$F$55,'rohdaten_gpt'!$G$2:$G$55))</f>
        <v>100000</v>
      </c>
      <c r="F76" s="3" cm="1">
        <f t="array" ref="F76">SUMPRODUCT(('rohdaten_gpt'!$A$2:$A$55=$B76)*('rohdaten_gpt'!$B$2:$B$55=F$1)*IF($C76="B1",'rohdaten_gpt'!$F$2:$F$55,'rohdaten_gpt'!$G$2:$G$55))</f>
        <v>50000</v>
      </c>
      <c r="G76" s="2">
        <f t="shared" si="8"/>
        <v>66666.666666666672</v>
      </c>
      <c r="H76" s="3">
        <f t="shared" si="9"/>
        <v>50000</v>
      </c>
      <c r="I76" s="4">
        <f t="shared" si="10"/>
        <v>0.43301270189221924</v>
      </c>
      <c r="J76" s="5" t="str">
        <f t="shared" si="11"/>
        <v>JA</v>
      </c>
    </row>
    <row r="77" spans="1:10" x14ac:dyDescent="0.5">
      <c r="A77" s="1" t="s">
        <v>837</v>
      </c>
      <c r="B77" s="1" t="s">
        <v>35</v>
      </c>
      <c r="C77" s="1" t="s">
        <v>835</v>
      </c>
      <c r="D77" s="3" cm="1">
        <f t="array" ref="D77">SUMPRODUCT(('rohdaten_gpt'!$A$2:$A$55=$B77)*('rohdaten_gpt'!$B$2:$B$55=D$1)*IF($C77="B1",'rohdaten_gpt'!$F$2:$F$55,'rohdaten_gpt'!$G$2:$G$55))</f>
        <v>900</v>
      </c>
      <c r="E77" s="3" cm="1">
        <f t="array" ref="E77">SUMPRODUCT(('rohdaten_gpt'!$A$2:$A$55=$B77)*('rohdaten_gpt'!$B$2:$B$55=E$1)*IF($C77="B1",'rohdaten_gpt'!$F$2:$F$55,'rohdaten_gpt'!$G$2:$G$55))</f>
        <v>900</v>
      </c>
      <c r="F77" s="3" cm="1">
        <f t="array" ref="F77">SUMPRODUCT(('rohdaten_gpt'!$A$2:$A$55=$B77)*('rohdaten_gpt'!$B$2:$B$55=F$1)*IF($C77="B1",'rohdaten_gpt'!$F$2:$F$55,'rohdaten_gpt'!$G$2:$G$55))</f>
        <v>1000</v>
      </c>
      <c r="G77" s="2">
        <f t="shared" si="8"/>
        <v>933.33333333333337</v>
      </c>
      <c r="H77" s="3">
        <f t="shared" si="9"/>
        <v>100</v>
      </c>
      <c r="I77" s="4">
        <f t="shared" si="10"/>
        <v>6.1858957413174182E-2</v>
      </c>
      <c r="J77" s="5" t="str">
        <f t="shared" si="11"/>
        <v>JA</v>
      </c>
    </row>
    <row r="78" spans="1:10" x14ac:dyDescent="0.5">
      <c r="A78" s="1" t="s">
        <v>837</v>
      </c>
      <c r="B78" s="1" t="s">
        <v>51</v>
      </c>
      <c r="C78" s="1" t="s">
        <v>834</v>
      </c>
      <c r="D78" s="3" cm="1">
        <f t="array" ref="D78">SUMPRODUCT(('rohdaten_gpt'!$A$2:$A$55=$B78)*('rohdaten_gpt'!$B$2:$B$55=D$1)*IF($C78="B1",'rohdaten_gpt'!$F$2:$F$55,'rohdaten_gpt'!$G$2:$G$55))</f>
        <v>50000</v>
      </c>
      <c r="E78" s="3" cm="1">
        <f t="array" ref="E78">SUMPRODUCT(('rohdaten_gpt'!$A$2:$A$55=$B78)*('rohdaten_gpt'!$B$2:$B$55=E$1)*IF($C78="B1",'rohdaten_gpt'!$F$2:$F$55,'rohdaten_gpt'!$G$2:$G$55))</f>
        <v>50000</v>
      </c>
      <c r="F78" s="3" cm="1">
        <f t="array" ref="F78">SUMPRODUCT(('rohdaten_gpt'!$A$2:$A$55=$B78)*('rohdaten_gpt'!$B$2:$B$55=F$1)*IF($C78="B1",'rohdaten_gpt'!$F$2:$F$55,'rohdaten_gpt'!$G$2:$G$55))</f>
        <v>50000</v>
      </c>
      <c r="G78" s="2">
        <f t="shared" si="8"/>
        <v>50000</v>
      </c>
      <c r="H78" s="3">
        <f t="shared" si="9"/>
        <v>0</v>
      </c>
      <c r="I78" s="4">
        <f t="shared" si="10"/>
        <v>0</v>
      </c>
      <c r="J78" s="5" t="str">
        <f t="shared" si="11"/>
        <v>nein</v>
      </c>
    </row>
    <row r="79" spans="1:10" x14ac:dyDescent="0.5">
      <c r="A79" s="1" t="s">
        <v>837</v>
      </c>
      <c r="B79" s="1" t="s">
        <v>51</v>
      </c>
      <c r="C79" s="1" t="s">
        <v>835</v>
      </c>
      <c r="D79" s="3" cm="1">
        <f t="array" ref="D79">SUMPRODUCT(('rohdaten_gpt'!$A$2:$A$55=$B79)*('rohdaten_gpt'!$B$2:$B$55=D$1)*IF($C79="B1",'rohdaten_gpt'!$F$2:$F$55,'rohdaten_gpt'!$G$2:$G$55))</f>
        <v>900</v>
      </c>
      <c r="E79" s="3" cm="1">
        <f t="array" ref="E79">SUMPRODUCT(('rohdaten_gpt'!$A$2:$A$55=$B79)*('rohdaten_gpt'!$B$2:$B$55=E$1)*IF($C79="B1",'rohdaten_gpt'!$F$2:$F$55,'rohdaten_gpt'!$G$2:$G$55))</f>
        <v>900</v>
      </c>
      <c r="F79" s="3" cm="1">
        <f t="array" ref="F79">SUMPRODUCT(('rohdaten_gpt'!$A$2:$A$55=$B79)*('rohdaten_gpt'!$B$2:$B$55=F$1)*IF($C79="B1",'rohdaten_gpt'!$F$2:$F$55,'rohdaten_gpt'!$G$2:$G$55))</f>
        <v>900</v>
      </c>
      <c r="G79" s="2">
        <f t="shared" si="8"/>
        <v>900</v>
      </c>
      <c r="H79" s="3">
        <f t="shared" si="9"/>
        <v>0</v>
      </c>
      <c r="I79" s="4">
        <f t="shared" si="10"/>
        <v>0</v>
      </c>
      <c r="J79" s="5" t="str">
        <f t="shared" si="11"/>
        <v>nein</v>
      </c>
    </row>
    <row r="80" spans="1:10" x14ac:dyDescent="0.5">
      <c r="A80" s="1" t="s">
        <v>837</v>
      </c>
      <c r="B80" s="1" t="s">
        <v>67</v>
      </c>
      <c r="C80" s="1" t="s">
        <v>834</v>
      </c>
      <c r="D80" s="3" cm="1">
        <f t="array" ref="D80">SUMPRODUCT(('rohdaten_gpt'!$A$2:$A$55=$B80)*('rohdaten_gpt'!$B$2:$B$55=D$1)*IF($C80="B1",'rohdaten_gpt'!$F$2:$F$55,'rohdaten_gpt'!$G$2:$G$55))</f>
        <v>100000</v>
      </c>
      <c r="E80" s="3" cm="1">
        <f t="array" ref="E80">SUMPRODUCT(('rohdaten_gpt'!$A$2:$A$55=$B80)*('rohdaten_gpt'!$B$2:$B$55=E$1)*IF($C80="B1",'rohdaten_gpt'!$F$2:$F$55,'rohdaten_gpt'!$G$2:$G$55))</f>
        <v>100000</v>
      </c>
      <c r="F80" s="3" cm="1">
        <f t="array" ref="F80">SUMPRODUCT(('rohdaten_gpt'!$A$2:$A$55=$B80)*('rohdaten_gpt'!$B$2:$B$55=F$1)*IF($C80="B1",'rohdaten_gpt'!$F$2:$F$55,'rohdaten_gpt'!$G$2:$G$55))</f>
        <v>150000</v>
      </c>
      <c r="G80" s="2">
        <f t="shared" si="8"/>
        <v>116666.66666666667</v>
      </c>
      <c r="H80" s="3">
        <f t="shared" si="9"/>
        <v>50000</v>
      </c>
      <c r="I80" s="4">
        <f t="shared" si="10"/>
        <v>0.24743582965269656</v>
      </c>
      <c r="J80" s="5" t="str">
        <f t="shared" si="11"/>
        <v>JA</v>
      </c>
    </row>
    <row r="81" spans="1:10" x14ac:dyDescent="0.5">
      <c r="A81" s="1" t="s">
        <v>837</v>
      </c>
      <c r="B81" s="1" t="s">
        <v>67</v>
      </c>
      <c r="C81" s="1" t="s">
        <v>835</v>
      </c>
      <c r="D81" s="3" cm="1">
        <f t="array" ref="D81">SUMPRODUCT(('rohdaten_gpt'!$A$2:$A$55=$B81)*('rohdaten_gpt'!$B$2:$B$55=D$1)*IF($C81="B1",'rohdaten_gpt'!$F$2:$F$55,'rohdaten_gpt'!$G$2:$G$55))</f>
        <v>900</v>
      </c>
      <c r="E81" s="3" cm="1">
        <f t="array" ref="E81">SUMPRODUCT(('rohdaten_gpt'!$A$2:$A$55=$B81)*('rohdaten_gpt'!$B$2:$B$55=E$1)*IF($C81="B1",'rohdaten_gpt'!$F$2:$F$55,'rohdaten_gpt'!$G$2:$G$55))</f>
        <v>900</v>
      </c>
      <c r="F81" s="3" cm="1">
        <f t="array" ref="F81">SUMPRODUCT(('rohdaten_gpt'!$A$2:$A$55=$B81)*('rohdaten_gpt'!$B$2:$B$55=F$1)*IF($C81="B1",'rohdaten_gpt'!$F$2:$F$55,'rohdaten_gpt'!$G$2:$G$55))</f>
        <v>1200</v>
      </c>
      <c r="G81" s="2">
        <f t="shared" si="8"/>
        <v>1000</v>
      </c>
      <c r="H81" s="3">
        <f t="shared" si="9"/>
        <v>300</v>
      </c>
      <c r="I81" s="4">
        <f t="shared" si="10"/>
        <v>0.17320508075688773</v>
      </c>
      <c r="J81" s="5" t="str">
        <f t="shared" si="11"/>
        <v>JA</v>
      </c>
    </row>
    <row r="82" spans="1:10" x14ac:dyDescent="0.5">
      <c r="A82" s="1" t="s">
        <v>837</v>
      </c>
      <c r="B82" s="1" t="s">
        <v>83</v>
      </c>
      <c r="C82" s="1" t="s">
        <v>834</v>
      </c>
      <c r="D82" s="3" cm="1">
        <f t="array" ref="D82">SUMPRODUCT(('rohdaten_gpt'!$A$2:$A$55=$B82)*('rohdaten_gpt'!$B$2:$B$55=D$1)*IF($C82="B1",'rohdaten_gpt'!$F$2:$F$55,'rohdaten_gpt'!$G$2:$G$55))</f>
        <v>50000</v>
      </c>
      <c r="E82" s="3" cm="1">
        <f t="array" ref="E82">SUMPRODUCT(('rohdaten_gpt'!$A$2:$A$55=$B82)*('rohdaten_gpt'!$B$2:$B$55=E$1)*IF($C82="B1",'rohdaten_gpt'!$F$2:$F$55,'rohdaten_gpt'!$G$2:$G$55))</f>
        <v>50000</v>
      </c>
      <c r="F82" s="3" cm="1">
        <f t="array" ref="F82">SUMPRODUCT(('rohdaten_gpt'!$A$2:$A$55=$B82)*('rohdaten_gpt'!$B$2:$B$55=F$1)*IF($C82="B1",'rohdaten_gpt'!$F$2:$F$55,'rohdaten_gpt'!$G$2:$G$55))</f>
        <v>100000</v>
      </c>
      <c r="G82" s="2">
        <f t="shared" si="8"/>
        <v>66666.666666666672</v>
      </c>
      <c r="H82" s="3">
        <f t="shared" si="9"/>
        <v>50000</v>
      </c>
      <c r="I82" s="4">
        <f t="shared" si="10"/>
        <v>0.43301270189221924</v>
      </c>
      <c r="J82" s="5" t="str">
        <f t="shared" si="11"/>
        <v>JA</v>
      </c>
    </row>
    <row r="83" spans="1:10" x14ac:dyDescent="0.5">
      <c r="A83" s="1" t="s">
        <v>837</v>
      </c>
      <c r="B83" s="1" t="s">
        <v>83</v>
      </c>
      <c r="C83" s="1" t="s">
        <v>835</v>
      </c>
      <c r="D83" s="3" cm="1">
        <f t="array" ref="D83">SUMPRODUCT(('rohdaten_gpt'!$A$2:$A$55=$B83)*('rohdaten_gpt'!$B$2:$B$55=D$1)*IF($C83="B1",'rohdaten_gpt'!$F$2:$F$55,'rohdaten_gpt'!$G$2:$G$55))</f>
        <v>900</v>
      </c>
      <c r="E83" s="3" cm="1">
        <f t="array" ref="E83">SUMPRODUCT(('rohdaten_gpt'!$A$2:$A$55=$B83)*('rohdaten_gpt'!$B$2:$B$55=E$1)*IF($C83="B1",'rohdaten_gpt'!$F$2:$F$55,'rohdaten_gpt'!$G$2:$G$55))</f>
        <v>900</v>
      </c>
      <c r="F83" s="3" cm="1">
        <f t="array" ref="F83">SUMPRODUCT(('rohdaten_gpt'!$A$2:$A$55=$B83)*('rohdaten_gpt'!$B$2:$B$55=F$1)*IF($C83="B1",'rohdaten_gpt'!$F$2:$F$55,'rohdaten_gpt'!$G$2:$G$55))</f>
        <v>900</v>
      </c>
      <c r="G83" s="2">
        <f t="shared" si="8"/>
        <v>900</v>
      </c>
      <c r="H83" s="3">
        <f t="shared" si="9"/>
        <v>0</v>
      </c>
      <c r="I83" s="4">
        <f t="shared" si="10"/>
        <v>0</v>
      </c>
      <c r="J83" s="5" t="str">
        <f t="shared" si="11"/>
        <v>nein</v>
      </c>
    </row>
    <row r="84" spans="1:10" x14ac:dyDescent="0.5">
      <c r="A84" s="1" t="s">
        <v>837</v>
      </c>
      <c r="B84" s="1" t="s">
        <v>99</v>
      </c>
      <c r="C84" s="1" t="s">
        <v>834</v>
      </c>
      <c r="D84" s="3" cm="1">
        <f t="array" ref="D84">SUMPRODUCT(('rohdaten_gpt'!$A$2:$A$55=$B84)*('rohdaten_gpt'!$B$2:$B$55=D$1)*IF($C84="B1",'rohdaten_gpt'!$F$2:$F$55,'rohdaten_gpt'!$G$2:$G$55))</f>
        <v>100000</v>
      </c>
      <c r="E84" s="3" cm="1">
        <f t="array" ref="E84">SUMPRODUCT(('rohdaten_gpt'!$A$2:$A$55=$B84)*('rohdaten_gpt'!$B$2:$B$55=E$1)*IF($C84="B1",'rohdaten_gpt'!$F$2:$F$55,'rohdaten_gpt'!$G$2:$G$55))</f>
        <v>150000</v>
      </c>
      <c r="F84" s="3" cm="1">
        <f t="array" ref="F84">SUMPRODUCT(('rohdaten_gpt'!$A$2:$A$55=$B84)*('rohdaten_gpt'!$B$2:$B$55=F$1)*IF($C84="B1",'rohdaten_gpt'!$F$2:$F$55,'rohdaten_gpt'!$G$2:$G$55))</f>
        <v>150000</v>
      </c>
      <c r="G84" s="2">
        <f t="shared" si="8"/>
        <v>133333.33333333334</v>
      </c>
      <c r="H84" s="3">
        <f t="shared" si="9"/>
        <v>50000</v>
      </c>
      <c r="I84" s="4">
        <f t="shared" si="10"/>
        <v>0.21650635094610948</v>
      </c>
      <c r="J84" s="5" t="str">
        <f t="shared" si="11"/>
        <v>JA</v>
      </c>
    </row>
    <row r="85" spans="1:10" x14ac:dyDescent="0.5">
      <c r="A85" s="1" t="s">
        <v>837</v>
      </c>
      <c r="B85" s="1" t="s">
        <v>99</v>
      </c>
      <c r="C85" s="1" t="s">
        <v>835</v>
      </c>
      <c r="D85" s="3" cm="1">
        <f t="array" ref="D85">SUMPRODUCT(('rohdaten_gpt'!$A$2:$A$55=$B85)*('rohdaten_gpt'!$B$2:$B$55=D$1)*IF($C85="B1",'rohdaten_gpt'!$F$2:$F$55,'rohdaten_gpt'!$G$2:$G$55))</f>
        <v>1200</v>
      </c>
      <c r="E85" s="3" cm="1">
        <f t="array" ref="E85">SUMPRODUCT(('rohdaten_gpt'!$A$2:$A$55=$B85)*('rohdaten_gpt'!$B$2:$B$55=E$1)*IF($C85="B1",'rohdaten_gpt'!$F$2:$F$55,'rohdaten_gpt'!$G$2:$G$55))</f>
        <v>900</v>
      </c>
      <c r="F85" s="3" cm="1">
        <f t="array" ref="F85">SUMPRODUCT(('rohdaten_gpt'!$A$2:$A$55=$B85)*('rohdaten_gpt'!$B$2:$B$55=F$1)*IF($C85="B1",'rohdaten_gpt'!$F$2:$F$55,'rohdaten_gpt'!$G$2:$G$55))</f>
        <v>1200</v>
      </c>
      <c r="G85" s="2">
        <f t="shared" si="8"/>
        <v>1100</v>
      </c>
      <c r="H85" s="3">
        <f t="shared" si="9"/>
        <v>300</v>
      </c>
      <c r="I85" s="4">
        <f t="shared" si="10"/>
        <v>0.15745916432444337</v>
      </c>
      <c r="J85" s="5" t="str">
        <f t="shared" si="11"/>
        <v>JA</v>
      </c>
    </row>
    <row r="86" spans="1:10" x14ac:dyDescent="0.5">
      <c r="A86" s="1" t="s">
        <v>837</v>
      </c>
      <c r="B86" s="1" t="s">
        <v>115</v>
      </c>
      <c r="C86" s="1" t="s">
        <v>834</v>
      </c>
      <c r="D86" s="3" cm="1">
        <f t="array" ref="D86">SUMPRODUCT(('rohdaten_gpt'!$A$2:$A$55=$B86)*('rohdaten_gpt'!$B$2:$B$55=D$1)*IF($C86="B1",'rohdaten_gpt'!$F$2:$F$55,'rohdaten_gpt'!$G$2:$G$55))</f>
        <v>50000</v>
      </c>
      <c r="E86" s="3" cm="1">
        <f t="array" ref="E86">SUMPRODUCT(('rohdaten_gpt'!$A$2:$A$55=$B86)*('rohdaten_gpt'!$B$2:$B$55=E$1)*IF($C86="B1",'rohdaten_gpt'!$F$2:$F$55,'rohdaten_gpt'!$G$2:$G$55))</f>
        <v>50000</v>
      </c>
      <c r="F86" s="3" cm="1">
        <f t="array" ref="F86">SUMPRODUCT(('rohdaten_gpt'!$A$2:$A$55=$B86)*('rohdaten_gpt'!$B$2:$B$55=F$1)*IF($C86="B1",'rohdaten_gpt'!$F$2:$F$55,'rohdaten_gpt'!$G$2:$G$55))</f>
        <v>100000</v>
      </c>
      <c r="G86" s="2">
        <f t="shared" si="8"/>
        <v>66666.666666666672</v>
      </c>
      <c r="H86" s="3">
        <f t="shared" si="9"/>
        <v>50000</v>
      </c>
      <c r="I86" s="4">
        <f t="shared" si="10"/>
        <v>0.43301270189221924</v>
      </c>
      <c r="J86" s="5" t="str">
        <f t="shared" si="11"/>
        <v>JA</v>
      </c>
    </row>
    <row r="87" spans="1:10" x14ac:dyDescent="0.5">
      <c r="A87" s="1" t="s">
        <v>837</v>
      </c>
      <c r="B87" s="1" t="s">
        <v>115</v>
      </c>
      <c r="C87" s="1" t="s">
        <v>835</v>
      </c>
      <c r="D87" s="3" cm="1">
        <f t="array" ref="D87">SUMPRODUCT(('rohdaten_gpt'!$A$2:$A$55=$B87)*('rohdaten_gpt'!$B$2:$B$55=D$1)*IF($C87="B1",'rohdaten_gpt'!$F$2:$F$55,'rohdaten_gpt'!$G$2:$G$55))</f>
        <v>1000</v>
      </c>
      <c r="E87" s="3" cm="1">
        <f t="array" ref="E87">SUMPRODUCT(('rohdaten_gpt'!$A$2:$A$55=$B87)*('rohdaten_gpt'!$B$2:$B$55=E$1)*IF($C87="B1",'rohdaten_gpt'!$F$2:$F$55,'rohdaten_gpt'!$G$2:$G$55))</f>
        <v>1000</v>
      </c>
      <c r="F87" s="3" cm="1">
        <f t="array" ref="F87">SUMPRODUCT(('rohdaten_gpt'!$A$2:$A$55=$B87)*('rohdaten_gpt'!$B$2:$B$55=F$1)*IF($C87="B1",'rohdaten_gpt'!$F$2:$F$55,'rohdaten_gpt'!$G$2:$G$55))</f>
        <v>1500</v>
      </c>
      <c r="G87" s="2">
        <f t="shared" si="8"/>
        <v>1166.6666666666667</v>
      </c>
      <c r="H87" s="3">
        <f t="shared" si="9"/>
        <v>500</v>
      </c>
      <c r="I87" s="4">
        <f t="shared" si="10"/>
        <v>0.24743582965269661</v>
      </c>
      <c r="J87" s="5" t="str">
        <f t="shared" si="11"/>
        <v>JA</v>
      </c>
    </row>
    <row r="88" spans="1:10" x14ac:dyDescent="0.5">
      <c r="A88" s="1" t="s">
        <v>837</v>
      </c>
      <c r="B88" s="1" t="s">
        <v>131</v>
      </c>
      <c r="C88" s="1" t="s">
        <v>834</v>
      </c>
      <c r="D88" s="3" cm="1">
        <f t="array" ref="D88">SUMPRODUCT(('rohdaten_gpt'!$A$2:$A$55=$B88)*('rohdaten_gpt'!$B$2:$B$55=D$1)*IF($C88="B1",'rohdaten_gpt'!$F$2:$F$55,'rohdaten_gpt'!$G$2:$G$55))</f>
        <v>100000</v>
      </c>
      <c r="E88" s="3" cm="1">
        <f t="array" ref="E88">SUMPRODUCT(('rohdaten_gpt'!$A$2:$A$55=$B88)*('rohdaten_gpt'!$B$2:$B$55=E$1)*IF($C88="B1",'rohdaten_gpt'!$F$2:$F$55,'rohdaten_gpt'!$G$2:$G$55))</f>
        <v>150000</v>
      </c>
      <c r="F88" s="3" cm="1">
        <f t="array" ref="F88">SUMPRODUCT(('rohdaten_gpt'!$A$2:$A$55=$B88)*('rohdaten_gpt'!$B$2:$B$55=F$1)*IF($C88="B1",'rohdaten_gpt'!$F$2:$F$55,'rohdaten_gpt'!$G$2:$G$55))</f>
        <v>150000</v>
      </c>
      <c r="G88" s="2">
        <f t="shared" si="8"/>
        <v>133333.33333333334</v>
      </c>
      <c r="H88" s="3">
        <f t="shared" si="9"/>
        <v>50000</v>
      </c>
      <c r="I88" s="4">
        <f t="shared" si="10"/>
        <v>0.21650635094610948</v>
      </c>
      <c r="J88" s="5" t="str">
        <f t="shared" si="11"/>
        <v>JA</v>
      </c>
    </row>
    <row r="89" spans="1:10" x14ac:dyDescent="0.5">
      <c r="A89" s="1" t="s">
        <v>837</v>
      </c>
      <c r="B89" s="1" t="s">
        <v>131</v>
      </c>
      <c r="C89" s="1" t="s">
        <v>835</v>
      </c>
      <c r="D89" s="3" cm="1">
        <f t="array" ref="D89">SUMPRODUCT(('rohdaten_gpt'!$A$2:$A$55=$B89)*('rohdaten_gpt'!$B$2:$B$55=D$1)*IF($C89="B1",'rohdaten_gpt'!$F$2:$F$55,'rohdaten_gpt'!$G$2:$G$55))</f>
        <v>1500</v>
      </c>
      <c r="E89" s="3" cm="1">
        <f t="array" ref="E89">SUMPRODUCT(('rohdaten_gpt'!$A$2:$A$55=$B89)*('rohdaten_gpt'!$B$2:$B$55=E$1)*IF($C89="B1",'rohdaten_gpt'!$F$2:$F$55,'rohdaten_gpt'!$G$2:$G$55))</f>
        <v>1500</v>
      </c>
      <c r="F89" s="3" cm="1">
        <f t="array" ref="F89">SUMPRODUCT(('rohdaten_gpt'!$A$2:$A$55=$B89)*('rohdaten_gpt'!$B$2:$B$55=F$1)*IF($C89="B1",'rohdaten_gpt'!$F$2:$F$55,'rohdaten_gpt'!$G$2:$G$55))</f>
        <v>1500</v>
      </c>
      <c r="G89" s="2">
        <f t="shared" si="8"/>
        <v>1500</v>
      </c>
      <c r="H89" s="3">
        <f t="shared" si="9"/>
        <v>0</v>
      </c>
      <c r="I89" s="4">
        <f t="shared" si="10"/>
        <v>0</v>
      </c>
      <c r="J89" s="5" t="str">
        <f t="shared" si="11"/>
        <v>nein</v>
      </c>
    </row>
    <row r="90" spans="1:10" x14ac:dyDescent="0.5">
      <c r="A90" s="1" t="s">
        <v>837</v>
      </c>
      <c r="B90" s="1" t="s">
        <v>147</v>
      </c>
      <c r="C90" s="1" t="s">
        <v>834</v>
      </c>
      <c r="D90" s="3" cm="1">
        <f t="array" ref="D90">SUMPRODUCT(('rohdaten_gpt'!$A$2:$A$55=$B90)*('rohdaten_gpt'!$B$2:$B$55=D$1)*IF($C90="B1",'rohdaten_gpt'!$F$2:$F$55,'rohdaten_gpt'!$G$2:$G$55))</f>
        <v>100000</v>
      </c>
      <c r="E90" s="3" cm="1">
        <f t="array" ref="E90">SUMPRODUCT(('rohdaten_gpt'!$A$2:$A$55=$B90)*('rohdaten_gpt'!$B$2:$B$55=E$1)*IF($C90="B1",'rohdaten_gpt'!$F$2:$F$55,'rohdaten_gpt'!$G$2:$G$55))</f>
        <v>100000</v>
      </c>
      <c r="F90" s="3" cm="1">
        <f t="array" ref="F90">SUMPRODUCT(('rohdaten_gpt'!$A$2:$A$55=$B90)*('rohdaten_gpt'!$B$2:$B$55=F$1)*IF($C90="B1",'rohdaten_gpt'!$F$2:$F$55,'rohdaten_gpt'!$G$2:$G$55))</f>
        <v>100000</v>
      </c>
      <c r="G90" s="2">
        <f t="shared" si="8"/>
        <v>100000</v>
      </c>
      <c r="H90" s="3">
        <f t="shared" si="9"/>
        <v>0</v>
      </c>
      <c r="I90" s="4">
        <f t="shared" si="10"/>
        <v>0</v>
      </c>
      <c r="J90" s="5" t="str">
        <f t="shared" si="11"/>
        <v>nein</v>
      </c>
    </row>
    <row r="91" spans="1:10" x14ac:dyDescent="0.5">
      <c r="A91" s="1" t="s">
        <v>837</v>
      </c>
      <c r="B91" s="1" t="s">
        <v>147</v>
      </c>
      <c r="C91" s="1" t="s">
        <v>835</v>
      </c>
      <c r="D91" s="3" cm="1">
        <f t="array" ref="D91">SUMPRODUCT(('rohdaten_gpt'!$A$2:$A$55=$B91)*('rohdaten_gpt'!$B$2:$B$55=D$1)*IF($C91="B1",'rohdaten_gpt'!$F$2:$F$55,'rohdaten_gpt'!$G$2:$G$55))</f>
        <v>1500</v>
      </c>
      <c r="E91" s="3" cm="1">
        <f t="array" ref="E91">SUMPRODUCT(('rohdaten_gpt'!$A$2:$A$55=$B91)*('rohdaten_gpt'!$B$2:$B$55=E$1)*IF($C91="B1",'rohdaten_gpt'!$F$2:$F$55,'rohdaten_gpt'!$G$2:$G$55))</f>
        <v>1500</v>
      </c>
      <c r="F91" s="3" cm="1">
        <f t="array" ref="F91">SUMPRODUCT(('rohdaten_gpt'!$A$2:$A$55=$B91)*('rohdaten_gpt'!$B$2:$B$55=F$1)*IF($C91="B1",'rohdaten_gpt'!$F$2:$F$55,'rohdaten_gpt'!$G$2:$G$55))</f>
        <v>1500</v>
      </c>
      <c r="G91" s="2">
        <f t="shared" si="8"/>
        <v>1500</v>
      </c>
      <c r="H91" s="3">
        <f t="shared" si="9"/>
        <v>0</v>
      </c>
      <c r="I91" s="4">
        <f t="shared" si="10"/>
        <v>0</v>
      </c>
      <c r="J91" s="5" t="str">
        <f t="shared" si="11"/>
        <v>nein</v>
      </c>
    </row>
    <row r="92" spans="1:10" x14ac:dyDescent="0.5">
      <c r="A92" s="1" t="s">
        <v>837</v>
      </c>
      <c r="B92" s="1" t="s">
        <v>163</v>
      </c>
      <c r="C92" s="1" t="s">
        <v>834</v>
      </c>
      <c r="D92" s="3" cm="1">
        <f t="array" ref="D92">SUMPRODUCT(('rohdaten_gpt'!$A$2:$A$55=$B92)*('rohdaten_gpt'!$B$2:$B$55=D$1)*IF($C92="B1",'rohdaten_gpt'!$F$2:$F$55,'rohdaten_gpt'!$G$2:$G$55))</f>
        <v>150000</v>
      </c>
      <c r="E92" s="3" cm="1">
        <f t="array" ref="E92">SUMPRODUCT(('rohdaten_gpt'!$A$2:$A$55=$B92)*('rohdaten_gpt'!$B$2:$B$55=E$1)*IF($C92="B1",'rohdaten_gpt'!$F$2:$F$55,'rohdaten_gpt'!$G$2:$G$55))</f>
        <v>150000</v>
      </c>
      <c r="F92" s="3" cm="1">
        <f t="array" ref="F92">SUMPRODUCT(('rohdaten_gpt'!$A$2:$A$55=$B92)*('rohdaten_gpt'!$B$2:$B$55=F$1)*IF($C92="B1",'rohdaten_gpt'!$F$2:$F$55,'rohdaten_gpt'!$G$2:$G$55))</f>
        <v>150000</v>
      </c>
      <c r="G92" s="2">
        <f t="shared" si="8"/>
        <v>150000</v>
      </c>
      <c r="H92" s="3">
        <f t="shared" si="9"/>
        <v>0</v>
      </c>
      <c r="I92" s="4">
        <f t="shared" si="10"/>
        <v>0</v>
      </c>
      <c r="J92" s="5" t="str">
        <f t="shared" si="11"/>
        <v>nein</v>
      </c>
    </row>
    <row r="93" spans="1:10" x14ac:dyDescent="0.5">
      <c r="A93" s="1" t="s">
        <v>837</v>
      </c>
      <c r="B93" s="1" t="s">
        <v>163</v>
      </c>
      <c r="C93" s="1" t="s">
        <v>835</v>
      </c>
      <c r="D93" s="3" cm="1">
        <f t="array" ref="D93">SUMPRODUCT(('rohdaten_gpt'!$A$2:$A$55=$B93)*('rohdaten_gpt'!$B$2:$B$55=D$1)*IF($C93="B1",'rohdaten_gpt'!$F$2:$F$55,'rohdaten_gpt'!$G$2:$G$55))</f>
        <v>1500</v>
      </c>
      <c r="E93" s="3" cm="1">
        <f t="array" ref="E93">SUMPRODUCT(('rohdaten_gpt'!$A$2:$A$55=$B93)*('rohdaten_gpt'!$B$2:$B$55=E$1)*IF($C93="B1",'rohdaten_gpt'!$F$2:$F$55,'rohdaten_gpt'!$G$2:$G$55))</f>
        <v>1500</v>
      </c>
      <c r="F93" s="3" cm="1">
        <f t="array" ref="F93">SUMPRODUCT(('rohdaten_gpt'!$A$2:$A$55=$B93)*('rohdaten_gpt'!$B$2:$B$55=F$1)*IF($C93="B1",'rohdaten_gpt'!$F$2:$F$55,'rohdaten_gpt'!$G$2:$G$55))</f>
        <v>2000</v>
      </c>
      <c r="G93" s="2">
        <f t="shared" si="8"/>
        <v>1666.6666666666667</v>
      </c>
      <c r="H93" s="3">
        <f t="shared" si="9"/>
        <v>500</v>
      </c>
      <c r="I93" s="4">
        <f t="shared" si="10"/>
        <v>0.17320508075688787</v>
      </c>
      <c r="J93" s="5" t="str">
        <f t="shared" si="11"/>
        <v>JA</v>
      </c>
    </row>
    <row r="94" spans="1:10" x14ac:dyDescent="0.5">
      <c r="A94" s="1" t="s">
        <v>837</v>
      </c>
      <c r="B94" s="1" t="s">
        <v>179</v>
      </c>
      <c r="C94" s="1" t="s">
        <v>834</v>
      </c>
      <c r="D94" s="3" cm="1">
        <f t="array" ref="D94">SUMPRODUCT(('rohdaten_gpt'!$A$2:$A$55=$B94)*('rohdaten_gpt'!$B$2:$B$55=D$1)*IF($C94="B1",'rohdaten_gpt'!$F$2:$F$55,'rohdaten_gpt'!$G$2:$G$55))</f>
        <v>100000</v>
      </c>
      <c r="E94" s="3" cm="1">
        <f t="array" ref="E94">SUMPRODUCT(('rohdaten_gpt'!$A$2:$A$55=$B94)*('rohdaten_gpt'!$B$2:$B$55=E$1)*IF($C94="B1",'rohdaten_gpt'!$F$2:$F$55,'rohdaten_gpt'!$G$2:$G$55))</f>
        <v>100000</v>
      </c>
      <c r="F94" s="3" cm="1">
        <f t="array" ref="F94">SUMPRODUCT(('rohdaten_gpt'!$A$2:$A$55=$B94)*('rohdaten_gpt'!$B$2:$B$55=F$1)*IF($C94="B1",'rohdaten_gpt'!$F$2:$F$55,'rohdaten_gpt'!$G$2:$G$55))</f>
        <v>150000</v>
      </c>
      <c r="G94" s="2">
        <f t="shared" si="8"/>
        <v>116666.66666666667</v>
      </c>
      <c r="H94" s="3">
        <f t="shared" si="9"/>
        <v>50000</v>
      </c>
      <c r="I94" s="4">
        <f t="shared" si="10"/>
        <v>0.24743582965269656</v>
      </c>
      <c r="J94" s="5" t="str">
        <f t="shared" si="11"/>
        <v>JA</v>
      </c>
    </row>
    <row r="95" spans="1:10" x14ac:dyDescent="0.5">
      <c r="A95" s="1" t="s">
        <v>837</v>
      </c>
      <c r="B95" s="1" t="s">
        <v>179</v>
      </c>
      <c r="C95" s="1" t="s">
        <v>835</v>
      </c>
      <c r="D95" s="3" cm="1">
        <f t="array" ref="D95">SUMPRODUCT(('rohdaten_gpt'!$A$2:$A$55=$B95)*('rohdaten_gpt'!$B$2:$B$55=D$1)*IF($C95="B1",'rohdaten_gpt'!$F$2:$F$55,'rohdaten_gpt'!$G$2:$G$55))</f>
        <v>1500</v>
      </c>
      <c r="E95" s="3" cm="1">
        <f t="array" ref="E95">SUMPRODUCT(('rohdaten_gpt'!$A$2:$A$55=$B95)*('rohdaten_gpt'!$B$2:$B$55=E$1)*IF($C95="B1",'rohdaten_gpt'!$F$2:$F$55,'rohdaten_gpt'!$G$2:$G$55))</f>
        <v>1500</v>
      </c>
      <c r="F95" s="3" cm="1">
        <f t="array" ref="F95">SUMPRODUCT(('rohdaten_gpt'!$A$2:$A$55=$B95)*('rohdaten_gpt'!$B$2:$B$55=F$1)*IF($C95="B1",'rohdaten_gpt'!$F$2:$F$55,'rohdaten_gpt'!$G$2:$G$55))</f>
        <v>1500</v>
      </c>
      <c r="G95" s="2">
        <f t="shared" si="8"/>
        <v>1500</v>
      </c>
      <c r="H95" s="3">
        <f t="shared" si="9"/>
        <v>0</v>
      </c>
      <c r="I95" s="4">
        <f t="shared" si="10"/>
        <v>0</v>
      </c>
      <c r="J95" s="5" t="str">
        <f t="shared" si="11"/>
        <v>nein</v>
      </c>
    </row>
    <row r="96" spans="1:10" x14ac:dyDescent="0.5">
      <c r="A96" s="1" t="s">
        <v>837</v>
      </c>
      <c r="B96" s="1" t="s">
        <v>195</v>
      </c>
      <c r="C96" s="1" t="s">
        <v>834</v>
      </c>
      <c r="D96" s="3" cm="1">
        <f t="array" ref="D96">SUMPRODUCT(('rohdaten_gpt'!$A$2:$A$55=$B96)*('rohdaten_gpt'!$B$2:$B$55=D$1)*IF($C96="B1",'rohdaten_gpt'!$F$2:$F$55,'rohdaten_gpt'!$G$2:$G$55))</f>
        <v>150000</v>
      </c>
      <c r="E96" s="3" cm="1">
        <f t="array" ref="E96">SUMPRODUCT(('rohdaten_gpt'!$A$2:$A$55=$B96)*('rohdaten_gpt'!$B$2:$B$55=E$1)*IF($C96="B1",'rohdaten_gpt'!$F$2:$F$55,'rohdaten_gpt'!$G$2:$G$55))</f>
        <v>150000</v>
      </c>
      <c r="F96" s="3" cm="1">
        <f t="array" ref="F96">SUMPRODUCT(('rohdaten_gpt'!$A$2:$A$55=$B96)*('rohdaten_gpt'!$B$2:$B$55=F$1)*IF($C96="B1",'rohdaten_gpt'!$F$2:$F$55,'rohdaten_gpt'!$G$2:$G$55))</f>
        <v>150000</v>
      </c>
      <c r="G96" s="2">
        <f t="shared" si="8"/>
        <v>150000</v>
      </c>
      <c r="H96" s="3">
        <f t="shared" si="9"/>
        <v>0</v>
      </c>
      <c r="I96" s="4">
        <f t="shared" si="10"/>
        <v>0</v>
      </c>
      <c r="J96" s="5" t="str">
        <f t="shared" si="11"/>
        <v>nein</v>
      </c>
    </row>
    <row r="97" spans="1:10" x14ac:dyDescent="0.5">
      <c r="A97" s="1" t="s">
        <v>837</v>
      </c>
      <c r="B97" s="1" t="s">
        <v>195</v>
      </c>
      <c r="C97" s="1" t="s">
        <v>835</v>
      </c>
      <c r="D97" s="3" cm="1">
        <f t="array" ref="D97">SUMPRODUCT(('rohdaten_gpt'!$A$2:$A$55=$B97)*('rohdaten_gpt'!$B$2:$B$55=D$1)*IF($C97="B1",'rohdaten_gpt'!$F$2:$F$55,'rohdaten_gpt'!$G$2:$G$55))</f>
        <v>2000</v>
      </c>
      <c r="E97" s="3" cm="1">
        <f t="array" ref="E97">SUMPRODUCT(('rohdaten_gpt'!$A$2:$A$55=$B97)*('rohdaten_gpt'!$B$2:$B$55=E$1)*IF($C97="B1",'rohdaten_gpt'!$F$2:$F$55,'rohdaten_gpt'!$G$2:$G$55))</f>
        <v>1500</v>
      </c>
      <c r="F97" s="3" cm="1">
        <f t="array" ref="F97">SUMPRODUCT(('rohdaten_gpt'!$A$2:$A$55=$B97)*('rohdaten_gpt'!$B$2:$B$55=F$1)*IF($C97="B1",'rohdaten_gpt'!$F$2:$F$55,'rohdaten_gpt'!$G$2:$G$55))</f>
        <v>2000</v>
      </c>
      <c r="G97" s="2">
        <f t="shared" si="8"/>
        <v>1833.3333333333333</v>
      </c>
      <c r="H97" s="3">
        <f t="shared" si="9"/>
        <v>500</v>
      </c>
      <c r="I97" s="4">
        <f t="shared" si="10"/>
        <v>0.1574591643244431</v>
      </c>
      <c r="J97" s="5" t="str">
        <f t="shared" si="11"/>
        <v>JA</v>
      </c>
    </row>
    <row r="98" spans="1:10" x14ac:dyDescent="0.5">
      <c r="A98" s="1" t="s">
        <v>837</v>
      </c>
      <c r="B98" s="1" t="s">
        <v>211</v>
      </c>
      <c r="C98" s="1" t="s">
        <v>834</v>
      </c>
      <c r="D98" s="3" cm="1">
        <f t="array" ref="D98">SUMPRODUCT(('rohdaten_gpt'!$A$2:$A$55=$B98)*('rohdaten_gpt'!$B$2:$B$55=D$1)*IF($C98="B1",'rohdaten_gpt'!$F$2:$F$55,'rohdaten_gpt'!$G$2:$G$55))</f>
        <v>100000</v>
      </c>
      <c r="E98" s="3" cm="1">
        <f t="array" ref="E98">SUMPRODUCT(('rohdaten_gpt'!$A$2:$A$55=$B98)*('rohdaten_gpt'!$B$2:$B$55=E$1)*IF($C98="B1",'rohdaten_gpt'!$F$2:$F$55,'rohdaten_gpt'!$G$2:$G$55))</f>
        <v>150000</v>
      </c>
      <c r="F98" s="3" cm="1">
        <f t="array" ref="F98">SUMPRODUCT(('rohdaten_gpt'!$A$2:$A$55=$B98)*('rohdaten_gpt'!$B$2:$B$55=F$1)*IF($C98="B1",'rohdaten_gpt'!$F$2:$F$55,'rohdaten_gpt'!$G$2:$G$55))</f>
        <v>150000</v>
      </c>
      <c r="G98" s="2">
        <f t="shared" ref="G98:G129" si="12">AVERAGE(D98:F98)</f>
        <v>133333.33333333334</v>
      </c>
      <c r="H98" s="3">
        <f t="shared" ref="H98:H109" si="13">MAX(D98:F98)-MIN(D98:F98)</f>
        <v>50000</v>
      </c>
      <c r="I98" s="4">
        <f t="shared" ref="I98:I109" si="14">IF(G98=0,0,STDEV(D98:F98)/G98)</f>
        <v>0.21650635094610948</v>
      </c>
      <c r="J98" s="5" t="str">
        <f t="shared" ref="J98:J129" si="15">IF(I98&gt;0.05,"JA","nein")</f>
        <v>JA</v>
      </c>
    </row>
    <row r="99" spans="1:10" x14ac:dyDescent="0.5">
      <c r="A99" s="1" t="s">
        <v>837</v>
      </c>
      <c r="B99" s="1" t="s">
        <v>211</v>
      </c>
      <c r="C99" s="1" t="s">
        <v>835</v>
      </c>
      <c r="D99" s="3" cm="1">
        <f t="array" ref="D99">SUMPRODUCT(('rohdaten_gpt'!$A$2:$A$55=$B99)*('rohdaten_gpt'!$B$2:$B$55=D$1)*IF($C99="B1",'rohdaten_gpt'!$F$2:$F$55,'rohdaten_gpt'!$G$2:$G$55))</f>
        <v>1500</v>
      </c>
      <c r="E99" s="3" cm="1">
        <f t="array" ref="E99">SUMPRODUCT(('rohdaten_gpt'!$A$2:$A$55=$B99)*('rohdaten_gpt'!$B$2:$B$55=E$1)*IF($C99="B1",'rohdaten_gpt'!$F$2:$F$55,'rohdaten_gpt'!$G$2:$G$55))</f>
        <v>2000</v>
      </c>
      <c r="F99" s="3" cm="1">
        <f t="array" ref="F99">SUMPRODUCT(('rohdaten_gpt'!$A$2:$A$55=$B99)*('rohdaten_gpt'!$B$2:$B$55=F$1)*IF($C99="B1",'rohdaten_gpt'!$F$2:$F$55,'rohdaten_gpt'!$G$2:$G$55))</f>
        <v>2000</v>
      </c>
      <c r="G99" s="2">
        <f t="shared" si="12"/>
        <v>1833.3333333333333</v>
      </c>
      <c r="H99" s="3">
        <f t="shared" si="13"/>
        <v>500</v>
      </c>
      <c r="I99" s="4">
        <f t="shared" si="14"/>
        <v>0.1574591643244431</v>
      </c>
      <c r="J99" s="5" t="str">
        <f t="shared" si="15"/>
        <v>JA</v>
      </c>
    </row>
    <row r="100" spans="1:10" x14ac:dyDescent="0.5">
      <c r="A100" s="1" t="s">
        <v>837</v>
      </c>
      <c r="B100" s="1" t="s">
        <v>227</v>
      </c>
      <c r="C100" s="1" t="s">
        <v>834</v>
      </c>
      <c r="D100" s="3" cm="1">
        <f t="array" ref="D100">SUMPRODUCT(('rohdaten_gpt'!$A$2:$A$55=$B100)*('rohdaten_gpt'!$B$2:$B$55=D$1)*IF($C100="B1",'rohdaten_gpt'!$F$2:$F$55,'rohdaten_gpt'!$G$2:$G$55))</f>
        <v>150000</v>
      </c>
      <c r="E100" s="3" cm="1">
        <f t="array" ref="E100">SUMPRODUCT(('rohdaten_gpt'!$A$2:$A$55=$B100)*('rohdaten_gpt'!$B$2:$B$55=E$1)*IF($C100="B1",'rohdaten_gpt'!$F$2:$F$55,'rohdaten_gpt'!$G$2:$G$55))</f>
        <v>150000</v>
      </c>
      <c r="F100" s="3" cm="1">
        <f t="array" ref="F100">SUMPRODUCT(('rohdaten_gpt'!$A$2:$A$55=$B100)*('rohdaten_gpt'!$B$2:$B$55=F$1)*IF($C100="B1",'rohdaten_gpt'!$F$2:$F$55,'rohdaten_gpt'!$G$2:$G$55))</f>
        <v>150000</v>
      </c>
      <c r="G100" s="2">
        <f t="shared" si="12"/>
        <v>150000</v>
      </c>
      <c r="H100" s="3">
        <f t="shared" si="13"/>
        <v>0</v>
      </c>
      <c r="I100" s="4">
        <f t="shared" si="14"/>
        <v>0</v>
      </c>
      <c r="J100" s="5" t="str">
        <f t="shared" si="15"/>
        <v>nein</v>
      </c>
    </row>
    <row r="101" spans="1:10" x14ac:dyDescent="0.5">
      <c r="A101" s="1" t="s">
        <v>837</v>
      </c>
      <c r="B101" s="1" t="s">
        <v>227</v>
      </c>
      <c r="C101" s="1" t="s">
        <v>835</v>
      </c>
      <c r="D101" s="3" cm="1">
        <f t="array" ref="D101">SUMPRODUCT(('rohdaten_gpt'!$A$2:$A$55=$B101)*('rohdaten_gpt'!$B$2:$B$55=D$1)*IF($C101="B1",'rohdaten_gpt'!$F$2:$F$55,'rohdaten_gpt'!$G$2:$G$55))</f>
        <v>2000</v>
      </c>
      <c r="E101" s="3" cm="1">
        <f t="array" ref="E101">SUMPRODUCT(('rohdaten_gpt'!$A$2:$A$55=$B101)*('rohdaten_gpt'!$B$2:$B$55=E$1)*IF($C101="B1",'rohdaten_gpt'!$F$2:$F$55,'rohdaten_gpt'!$G$2:$G$55))</f>
        <v>2500</v>
      </c>
      <c r="F101" s="3" cm="1">
        <f t="array" ref="F101">SUMPRODUCT(('rohdaten_gpt'!$A$2:$A$55=$B101)*('rohdaten_gpt'!$B$2:$B$55=F$1)*IF($C101="B1",'rohdaten_gpt'!$F$2:$F$55,'rohdaten_gpt'!$G$2:$G$55))</f>
        <v>2000</v>
      </c>
      <c r="G101" s="2">
        <f t="shared" si="12"/>
        <v>2166.6666666666665</v>
      </c>
      <c r="H101" s="3">
        <f t="shared" si="13"/>
        <v>500</v>
      </c>
      <c r="I101" s="4">
        <f t="shared" si="14"/>
        <v>0.13323467750529802</v>
      </c>
      <c r="J101" s="5" t="str">
        <f t="shared" si="15"/>
        <v>JA</v>
      </c>
    </row>
    <row r="102" spans="1:10" x14ac:dyDescent="0.5">
      <c r="A102" s="1" t="s">
        <v>837</v>
      </c>
      <c r="B102" s="1" t="s">
        <v>243</v>
      </c>
      <c r="C102" s="1" t="s">
        <v>834</v>
      </c>
      <c r="D102" s="3" cm="1">
        <f t="array" ref="D102">SUMPRODUCT(('rohdaten_gpt'!$A$2:$A$55=$B102)*('rohdaten_gpt'!$B$2:$B$55=D$1)*IF($C102="B1",'rohdaten_gpt'!$F$2:$F$55,'rohdaten_gpt'!$G$2:$G$55))</f>
        <v>150000</v>
      </c>
      <c r="E102" s="3" cm="1">
        <f t="array" ref="E102">SUMPRODUCT(('rohdaten_gpt'!$A$2:$A$55=$B102)*('rohdaten_gpt'!$B$2:$B$55=E$1)*IF($C102="B1",'rohdaten_gpt'!$F$2:$F$55,'rohdaten_gpt'!$G$2:$G$55))</f>
        <v>150000</v>
      </c>
      <c r="F102" s="3" cm="1">
        <f t="array" ref="F102">SUMPRODUCT(('rohdaten_gpt'!$A$2:$A$55=$B102)*('rohdaten_gpt'!$B$2:$B$55=F$1)*IF($C102="B1",'rohdaten_gpt'!$F$2:$F$55,'rohdaten_gpt'!$G$2:$G$55))</f>
        <v>150000</v>
      </c>
      <c r="G102" s="2">
        <f t="shared" si="12"/>
        <v>150000</v>
      </c>
      <c r="H102" s="3">
        <f t="shared" si="13"/>
        <v>0</v>
      </c>
      <c r="I102" s="4">
        <f t="shared" si="14"/>
        <v>0</v>
      </c>
      <c r="J102" s="5" t="str">
        <f t="shared" si="15"/>
        <v>nein</v>
      </c>
    </row>
    <row r="103" spans="1:10" x14ac:dyDescent="0.5">
      <c r="A103" s="1" t="s">
        <v>837</v>
      </c>
      <c r="B103" s="1" t="s">
        <v>243</v>
      </c>
      <c r="C103" s="1" t="s">
        <v>835</v>
      </c>
      <c r="D103" s="3" cm="1">
        <f t="array" ref="D103">SUMPRODUCT(('rohdaten_gpt'!$A$2:$A$55=$B103)*('rohdaten_gpt'!$B$2:$B$55=D$1)*IF($C103="B1",'rohdaten_gpt'!$F$2:$F$55,'rohdaten_gpt'!$G$2:$G$55))</f>
        <v>2000</v>
      </c>
      <c r="E103" s="3" cm="1">
        <f t="array" ref="E103">SUMPRODUCT(('rohdaten_gpt'!$A$2:$A$55=$B103)*('rohdaten_gpt'!$B$2:$B$55=E$1)*IF($C103="B1",'rohdaten_gpt'!$F$2:$F$55,'rohdaten_gpt'!$G$2:$G$55))</f>
        <v>2000</v>
      </c>
      <c r="F103" s="3" cm="1">
        <f t="array" ref="F103">SUMPRODUCT(('rohdaten_gpt'!$A$2:$A$55=$B103)*('rohdaten_gpt'!$B$2:$B$55=F$1)*IF($C103="B1",'rohdaten_gpt'!$F$2:$F$55,'rohdaten_gpt'!$G$2:$G$55))</f>
        <v>2000</v>
      </c>
      <c r="G103" s="2">
        <f t="shared" si="12"/>
        <v>2000</v>
      </c>
      <c r="H103" s="3">
        <f t="shared" si="13"/>
        <v>0</v>
      </c>
      <c r="I103" s="4">
        <f t="shared" si="14"/>
        <v>0</v>
      </c>
      <c r="J103" s="5" t="str">
        <f t="shared" si="15"/>
        <v>nein</v>
      </c>
    </row>
    <row r="104" spans="1:10" x14ac:dyDescent="0.5">
      <c r="A104" s="1" t="s">
        <v>837</v>
      </c>
      <c r="B104" s="1" t="s">
        <v>259</v>
      </c>
      <c r="C104" s="1" t="s">
        <v>834</v>
      </c>
      <c r="D104" s="3" cm="1">
        <f t="array" ref="D104">SUMPRODUCT(('rohdaten_gpt'!$A$2:$A$55=$B104)*('rohdaten_gpt'!$B$2:$B$55=D$1)*IF($C104="B1",'rohdaten_gpt'!$F$2:$F$55,'rohdaten_gpt'!$G$2:$G$55))</f>
        <v>150000</v>
      </c>
      <c r="E104" s="3" cm="1">
        <f t="array" ref="E104">SUMPRODUCT(('rohdaten_gpt'!$A$2:$A$55=$B104)*('rohdaten_gpt'!$B$2:$B$55=E$1)*IF($C104="B1",'rohdaten_gpt'!$F$2:$F$55,'rohdaten_gpt'!$G$2:$G$55))</f>
        <v>150000</v>
      </c>
      <c r="F104" s="3" cm="1">
        <f t="array" ref="F104">SUMPRODUCT(('rohdaten_gpt'!$A$2:$A$55=$B104)*('rohdaten_gpt'!$B$2:$B$55=F$1)*IF($C104="B1",'rohdaten_gpt'!$F$2:$F$55,'rohdaten_gpt'!$G$2:$G$55))</f>
        <v>250000</v>
      </c>
      <c r="G104" s="2">
        <f t="shared" si="12"/>
        <v>183333.33333333334</v>
      </c>
      <c r="H104" s="3">
        <f t="shared" si="13"/>
        <v>100000</v>
      </c>
      <c r="I104" s="4">
        <f t="shared" si="14"/>
        <v>0.31491832864888686</v>
      </c>
      <c r="J104" s="5" t="str">
        <f t="shared" si="15"/>
        <v>JA</v>
      </c>
    </row>
    <row r="105" spans="1:10" x14ac:dyDescent="0.5">
      <c r="A105" s="1" t="s">
        <v>837</v>
      </c>
      <c r="B105" s="1" t="s">
        <v>259</v>
      </c>
      <c r="C105" s="1" t="s">
        <v>835</v>
      </c>
      <c r="D105" s="3" cm="1">
        <f t="array" ref="D105">SUMPRODUCT(('rohdaten_gpt'!$A$2:$A$55=$B105)*('rohdaten_gpt'!$B$2:$B$55=D$1)*IF($C105="B1",'rohdaten_gpt'!$F$2:$F$55,'rohdaten_gpt'!$G$2:$G$55))</f>
        <v>2500</v>
      </c>
      <c r="E105" s="3" cm="1">
        <f t="array" ref="E105">SUMPRODUCT(('rohdaten_gpt'!$A$2:$A$55=$B105)*('rohdaten_gpt'!$B$2:$B$55=E$1)*IF($C105="B1",'rohdaten_gpt'!$F$2:$F$55,'rohdaten_gpt'!$G$2:$G$55))</f>
        <v>2500</v>
      </c>
      <c r="F105" s="3" cm="1">
        <f t="array" ref="F105">SUMPRODUCT(('rohdaten_gpt'!$A$2:$A$55=$B105)*('rohdaten_gpt'!$B$2:$B$55=F$1)*IF($C105="B1",'rohdaten_gpt'!$F$2:$F$55,'rohdaten_gpt'!$G$2:$G$55))</f>
        <v>3000</v>
      </c>
      <c r="G105" s="2">
        <f t="shared" si="12"/>
        <v>2666.6666666666665</v>
      </c>
      <c r="H105" s="3">
        <f t="shared" si="13"/>
        <v>500</v>
      </c>
      <c r="I105" s="4">
        <f t="shared" si="14"/>
        <v>0.10825317547305482</v>
      </c>
      <c r="J105" s="5" t="str">
        <f t="shared" si="15"/>
        <v>JA</v>
      </c>
    </row>
    <row r="106" spans="1:10" x14ac:dyDescent="0.5">
      <c r="A106" s="1" t="s">
        <v>837</v>
      </c>
      <c r="B106" s="1" t="s">
        <v>275</v>
      </c>
      <c r="C106" s="1" t="s">
        <v>834</v>
      </c>
      <c r="D106" s="3" cm="1">
        <f t="array" ref="D106">SUMPRODUCT(('rohdaten_gpt'!$A$2:$A$55=$B106)*('rohdaten_gpt'!$B$2:$B$55=D$1)*IF($C106="B1",'rohdaten_gpt'!$F$2:$F$55,'rohdaten_gpt'!$G$2:$G$55))</f>
        <v>150000</v>
      </c>
      <c r="E106" s="3" cm="1">
        <f t="array" ref="E106">SUMPRODUCT(('rohdaten_gpt'!$A$2:$A$55=$B106)*('rohdaten_gpt'!$B$2:$B$55=E$1)*IF($C106="B1",'rohdaten_gpt'!$F$2:$F$55,'rohdaten_gpt'!$G$2:$G$55))</f>
        <v>150000</v>
      </c>
      <c r="F106" s="3" cm="1">
        <f t="array" ref="F106">SUMPRODUCT(('rohdaten_gpt'!$A$2:$A$55=$B106)*('rohdaten_gpt'!$B$2:$B$55=F$1)*IF($C106="B1",'rohdaten_gpt'!$F$2:$F$55,'rohdaten_gpt'!$G$2:$G$55))</f>
        <v>150000</v>
      </c>
      <c r="G106" s="2">
        <f t="shared" si="12"/>
        <v>150000</v>
      </c>
      <c r="H106" s="3">
        <f t="shared" si="13"/>
        <v>0</v>
      </c>
      <c r="I106" s="4">
        <f t="shared" si="14"/>
        <v>0</v>
      </c>
      <c r="J106" s="5" t="str">
        <f t="shared" si="15"/>
        <v>nein</v>
      </c>
    </row>
    <row r="107" spans="1:10" x14ac:dyDescent="0.5">
      <c r="A107" s="1" t="s">
        <v>837</v>
      </c>
      <c r="B107" s="1" t="s">
        <v>275</v>
      </c>
      <c r="C107" s="1" t="s">
        <v>835</v>
      </c>
      <c r="D107" s="3" cm="1">
        <f t="array" ref="D107">SUMPRODUCT(('rohdaten_gpt'!$A$2:$A$55=$B107)*('rohdaten_gpt'!$B$2:$B$55=D$1)*IF($C107="B1",'rohdaten_gpt'!$F$2:$F$55,'rohdaten_gpt'!$G$2:$G$55))</f>
        <v>2000</v>
      </c>
      <c r="E107" s="3" cm="1">
        <f t="array" ref="E107">SUMPRODUCT(('rohdaten_gpt'!$A$2:$A$55=$B107)*('rohdaten_gpt'!$B$2:$B$55=E$1)*IF($C107="B1",'rohdaten_gpt'!$F$2:$F$55,'rohdaten_gpt'!$G$2:$G$55))</f>
        <v>2000</v>
      </c>
      <c r="F107" s="3" cm="1">
        <f t="array" ref="F107">SUMPRODUCT(('rohdaten_gpt'!$A$2:$A$55=$B107)*('rohdaten_gpt'!$B$2:$B$55=F$1)*IF($C107="B1",'rohdaten_gpt'!$F$2:$F$55,'rohdaten_gpt'!$G$2:$G$55))</f>
        <v>2500</v>
      </c>
      <c r="G107" s="2">
        <f t="shared" si="12"/>
        <v>2166.6666666666665</v>
      </c>
      <c r="H107" s="3">
        <f t="shared" si="13"/>
        <v>500</v>
      </c>
      <c r="I107" s="4">
        <f t="shared" si="14"/>
        <v>0.13323467750529802</v>
      </c>
      <c r="J107" s="5" t="str">
        <f t="shared" si="15"/>
        <v>JA</v>
      </c>
    </row>
    <row r="108" spans="1:10" x14ac:dyDescent="0.5">
      <c r="A108" s="1" t="s">
        <v>837</v>
      </c>
      <c r="B108" s="1" t="s">
        <v>291</v>
      </c>
      <c r="C108" s="1" t="s">
        <v>834</v>
      </c>
      <c r="D108" s="3" cm="1">
        <f t="array" ref="D108">SUMPRODUCT(('rohdaten_gpt'!$A$2:$A$55=$B108)*('rohdaten_gpt'!$B$2:$B$55=D$1)*IF($C108="B1",'rohdaten_gpt'!$F$2:$F$55,'rohdaten_gpt'!$G$2:$G$55))</f>
        <v>150000</v>
      </c>
      <c r="E108" s="3" cm="1">
        <f t="array" ref="E108">SUMPRODUCT(('rohdaten_gpt'!$A$2:$A$55=$B108)*('rohdaten_gpt'!$B$2:$B$55=E$1)*IF($C108="B1",'rohdaten_gpt'!$F$2:$F$55,'rohdaten_gpt'!$G$2:$G$55))</f>
        <v>150000</v>
      </c>
      <c r="F108" s="3" cm="1">
        <f t="array" ref="F108">SUMPRODUCT(('rohdaten_gpt'!$A$2:$A$55=$B108)*('rohdaten_gpt'!$B$2:$B$55=F$1)*IF($C108="B1",'rohdaten_gpt'!$F$2:$F$55,'rohdaten_gpt'!$G$2:$G$55))</f>
        <v>300000</v>
      </c>
      <c r="G108" s="2">
        <f t="shared" si="12"/>
        <v>200000</v>
      </c>
      <c r="H108" s="3">
        <f t="shared" si="13"/>
        <v>150000</v>
      </c>
      <c r="I108" s="4">
        <f t="shared" si="14"/>
        <v>0.43301270189221935</v>
      </c>
      <c r="J108" s="5" t="str">
        <f t="shared" si="15"/>
        <v>JA</v>
      </c>
    </row>
    <row r="109" spans="1:10" x14ac:dyDescent="0.5">
      <c r="A109" s="1" t="s">
        <v>837</v>
      </c>
      <c r="B109" s="1" t="s">
        <v>291</v>
      </c>
      <c r="C109" s="1" t="s">
        <v>835</v>
      </c>
      <c r="D109" s="3" cm="1">
        <f t="array" ref="D109">SUMPRODUCT(('rohdaten_gpt'!$A$2:$A$55=$B109)*('rohdaten_gpt'!$B$2:$B$55=D$1)*IF($C109="B1",'rohdaten_gpt'!$F$2:$F$55,'rohdaten_gpt'!$G$2:$G$55))</f>
        <v>3000</v>
      </c>
      <c r="E109" s="3" cm="1">
        <f t="array" ref="E109">SUMPRODUCT(('rohdaten_gpt'!$A$2:$A$55=$B109)*('rohdaten_gpt'!$B$2:$B$55=E$1)*IF($C109="B1",'rohdaten_gpt'!$F$2:$F$55,'rohdaten_gpt'!$G$2:$G$55))</f>
        <v>2500</v>
      </c>
      <c r="F109" s="3" cm="1">
        <f t="array" ref="F109">SUMPRODUCT(('rohdaten_gpt'!$A$2:$A$55=$B109)*('rohdaten_gpt'!$B$2:$B$55=F$1)*IF($C109="B1",'rohdaten_gpt'!$F$2:$F$55,'rohdaten_gpt'!$G$2:$G$55))</f>
        <v>2500</v>
      </c>
      <c r="G109" s="2">
        <f t="shared" si="12"/>
        <v>2666.6666666666665</v>
      </c>
      <c r="H109" s="3">
        <f t="shared" si="13"/>
        <v>500</v>
      </c>
      <c r="I109" s="4">
        <f t="shared" si="14"/>
        <v>0.10825317547305482</v>
      </c>
      <c r="J109" s="5" t="str">
        <f t="shared" si="15"/>
        <v>JA</v>
      </c>
    </row>
  </sheetData>
  <phoneticPr fontId="2" type="noConversion"/>
  <pageMargins left="0.7" right="0.7" top="0.78749999999999998" bottom="0.78749999999999998"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rohdaten_claude</vt:lpstr>
      <vt:lpstr>rohdaten_gemini</vt:lpstr>
      <vt:lpstr>rohdaten_gpt</vt:lpstr>
      <vt:lpstr>H1_Konsistenz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 Gößwellner</dc:creator>
  <dc:description/>
  <cp:lastModifiedBy>Sebastian Gößwellner</cp:lastModifiedBy>
  <cp:revision>0</cp:revision>
  <dcterms:created xsi:type="dcterms:W3CDTF">2026-05-24T08:01:01Z</dcterms:created>
  <dcterms:modified xsi:type="dcterms:W3CDTF">2026-05-24T08:33:55Z</dcterms:modified>
  <dc:language>en-US</dc:language>
</cp:coreProperties>
</file>